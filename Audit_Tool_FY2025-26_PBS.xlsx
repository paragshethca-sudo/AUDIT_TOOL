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Client Master" sheetId="2" state="visible" r:id="rId2"/>
    <sheet xmlns:r="http://schemas.openxmlformats.org/officeDocument/2006/relationships" name="🏢 Stat Audit" sheetId="3" state="visible" r:id="rId3"/>
    <sheet xmlns:r="http://schemas.openxmlformats.org/officeDocument/2006/relationships" name="📜 CARO 2020" sheetId="4" state="visible" r:id="rId4"/>
    <sheet xmlns:r="http://schemas.openxmlformats.org/officeDocument/2006/relationships" name="💰 Tax Audit 3CD" sheetId="5" state="visible" r:id="rId5"/>
    <sheet xmlns:r="http://schemas.openxmlformats.org/officeDocument/2006/relationships" name="📊 Analytics" sheetId="6" state="visible" r:id="rId6"/>
    <sheet xmlns:r="http://schemas.openxmlformats.org/officeDocument/2006/relationships" name="🔍 Audit Queries" sheetId="7" state="visible" r:id="rId7"/>
    <sheet xmlns:r="http://schemas.openxmlformats.org/officeDocument/2006/relationships" name="📝 Working Papers" sheetId="8" state="visible" r:id="rId8"/>
    <sheet xmlns:r="http://schemas.openxmlformats.org/officeDocument/2006/relationships" name="🧾 Adj Entries" sheetId="9" state="visible" r:id="rId9"/>
    <sheet xmlns:r="http://schemas.openxmlformats.org/officeDocument/2006/relationships" name="✅ Completion" sheetId="10" state="visible" r:id="rId10"/>
    <sheet xmlns:r="http://schemas.openxmlformats.org/officeDocument/2006/relationships" name="📅 Time Budget" sheetId="11" state="visible" r:id="rId11"/>
    <sheet xmlns:r="http://schemas.openxmlformats.org/officeDocument/2006/relationships" name="🧾 GST Recon" sheetId="12" state="visible" r:id="rId12"/>
    <sheet xmlns:r="http://schemas.openxmlformats.org/officeDocument/2006/relationships" name="⚖️ Scrutiny Tracker" sheetId="13" state="visible" r:id="rId13"/>
    <sheet xmlns:r="http://schemas.openxmlformats.org/officeDocument/2006/relationships" name="📉 Disallowances" sheetId="14" state="visible" r:id="rId14"/>
    <sheet xmlns:r="http://schemas.openxmlformats.org/officeDocument/2006/relationships" name="📥 TB Import" sheetId="15" state="visible" r:id="rId15"/>
    <sheet xmlns:r="http://schemas.openxmlformats.org/officeDocument/2006/relationships" name="🔬 Ledger Scrutiny" sheetId="16" state="visible" r:id="rId16"/>
    <sheet xmlns:r="http://schemas.openxmlformats.org/officeDocument/2006/relationships" name="📋 TDS Review" sheetId="17" state="visible" r:id="rId17"/>
    <sheet xmlns:r="http://schemas.openxmlformats.org/officeDocument/2006/relationships" name="🏭 MSME Review" sheetId="18" state="visible" r:id="rId18"/>
    <sheet xmlns:r="http://schemas.openxmlformats.org/officeDocument/2006/relationships" name="🤖 AI Prompt Library" sheetId="19" state="visible" r:id="rId19"/>
  </sheets>
  <definedNames/>
  <calcPr calcId="124519" fullCalcOnLoad="1"/>
</workbook>
</file>

<file path=xl/styles.xml><?xml version="1.0" encoding="utf-8"?>
<styleSheet xmlns="http://schemas.openxmlformats.org/spreadsheetml/2006/main">
  <numFmts count="1">
    <numFmt numFmtId="164" formatCode="DD-MMM-YYYY"/>
  </numFmts>
  <fonts count="19">
    <font>
      <name val="Calibri"/>
      <family val="2"/>
      <color theme="1"/>
      <sz val="11"/>
      <scheme val="minor"/>
    </font>
    <font>
      <name val="Arial"/>
      <b val="1"/>
      <color rgb="00FFFFFF"/>
      <sz val="16"/>
    </font>
    <font>
      <name val="Arial"/>
      <b val="1"/>
      <color rgb="00FFFFFF"/>
      <sz val="11"/>
    </font>
    <font>
      <name val="Arial"/>
      <b val="1"/>
      <color rgb="00FFFFFF"/>
      <sz val="12"/>
    </font>
    <font>
      <name val="Arial"/>
      <b val="1"/>
      <color rgb="00000000"/>
      <sz val="10"/>
    </font>
    <font>
      <name val="Arial"/>
      <color rgb="00000000"/>
      <sz val="10"/>
    </font>
    <font>
      <name val="Arial"/>
      <b val="1"/>
      <color rgb="00FFFFFF"/>
      <sz val="10"/>
      <u val="single"/>
    </font>
    <font>
      <name val="Arial"/>
      <i val="1"/>
      <color rgb="00000000"/>
      <sz val="8"/>
    </font>
    <font>
      <name val="Arial"/>
      <b val="1"/>
      <color rgb="00FFFFFF"/>
      <sz val="10"/>
    </font>
    <font>
      <name val="Arial"/>
      <b val="1"/>
      <color rgb="00FFFFFF"/>
      <sz val="14"/>
    </font>
    <font>
      <name val="Arial"/>
      <i val="1"/>
      <color rgb="00595959"/>
      <sz val="9"/>
    </font>
    <font>
      <name val="Arial"/>
      <b val="1"/>
      <color rgb="00FFFFFF"/>
      <sz val="13"/>
    </font>
    <font>
      <name val="Arial"/>
      <color rgb="00000000"/>
      <sz val="9"/>
    </font>
    <font>
      <name val="Arial"/>
      <b val="1"/>
      <color rgb="00000000"/>
      <sz val="9"/>
    </font>
    <font>
      <name val="Arial"/>
      <i val="1"/>
      <color rgb="00000000"/>
      <sz val="9"/>
    </font>
    <font>
      <name val="Arial"/>
      <b val="1"/>
      <color rgb="001F3864"/>
      <sz val="11"/>
    </font>
    <font>
      <name val="Arial"/>
      <color rgb="00375623"/>
      <sz val="10"/>
    </font>
    <font>
      <name val="Arial"/>
      <b val="1"/>
      <color rgb="00FFFFFF"/>
      <sz val="9"/>
    </font>
    <font>
      <name val="Arial"/>
      <b val="1"/>
      <color rgb="00C00000"/>
      <sz val="9"/>
    </font>
  </fonts>
  <fills count="27">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2CC"/>
      </patternFill>
    </fill>
    <fill>
      <patternFill patternType="solid">
        <fgColor rgb="00375623"/>
      </patternFill>
    </fill>
    <fill>
      <patternFill patternType="solid">
        <fgColor rgb="00E2EFDA"/>
      </patternFill>
    </fill>
    <fill>
      <patternFill patternType="solid">
        <fgColor rgb="00DDEBF7"/>
      </patternFill>
    </fill>
    <fill>
      <patternFill patternType="solid">
        <fgColor rgb="007030A0"/>
      </patternFill>
    </fill>
    <fill>
      <patternFill patternType="solid">
        <fgColor rgb="00F0E6FF"/>
      </patternFill>
    </fill>
    <fill>
      <patternFill patternType="solid">
        <fgColor rgb="00C9A84C"/>
      </patternFill>
    </fill>
    <fill>
      <patternFill patternType="solid">
        <fgColor rgb="00FF6600"/>
      </patternFill>
    </fill>
    <fill>
      <patternFill patternType="solid">
        <fgColor rgb="00FCE4D6"/>
      </patternFill>
    </fill>
    <fill>
      <patternFill patternType="solid">
        <fgColor rgb="0000B0F0"/>
      </patternFill>
    </fill>
    <fill>
      <patternFill patternType="solid">
        <fgColor rgb="00C00000"/>
      </patternFill>
    </fill>
    <fill>
      <patternFill patternType="solid">
        <fgColor rgb="00FFE0E0"/>
      </patternFill>
    </fill>
    <fill>
      <patternFill patternType="solid">
        <fgColor rgb="00F2F2F2"/>
      </patternFill>
    </fill>
    <fill>
      <patternFill patternType="solid">
        <fgColor rgb="00FFFFFF"/>
      </patternFill>
    </fill>
    <fill>
      <patternFill patternType="solid">
        <fgColor rgb="001F7A8C"/>
      </patternFill>
    </fill>
    <fill>
      <patternFill patternType="solid">
        <fgColor rgb="00C6EFCE"/>
      </patternFill>
    </fill>
    <fill>
      <patternFill patternType="solid">
        <fgColor rgb="006A0572"/>
      </patternFill>
    </fill>
    <fill>
      <patternFill patternType="solid">
        <fgColor rgb="00F5E6F6"/>
      </patternFill>
    </fill>
    <fill>
      <patternFill patternType="solid">
        <fgColor rgb="00FFEB9C"/>
      </patternFill>
    </fill>
    <fill>
      <patternFill patternType="solid">
        <fgColor rgb="001E6B2E"/>
      </patternFill>
    </fill>
    <fill>
      <patternFill patternType="solid">
        <fgColor rgb="00DDEEFF"/>
      </patternFill>
    </fill>
    <fill>
      <patternFill patternType="solid">
        <fgColor rgb="00FFB3B3"/>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right" vertical="center"/>
    </xf>
    <xf numFmtId="0" fontId="5" fillId="5" borderId="1" applyAlignment="1" pivotButton="0" quotePrefix="0" xfId="0">
      <alignment horizontal="left" vertical="center"/>
    </xf>
    <xf numFmtId="0" fontId="3" fillId="2" borderId="0" applyAlignment="1" pivotButton="0" quotePrefix="0" xfId="0">
      <alignment horizontal="center" vertical="center" wrapText="1"/>
    </xf>
    <xf numFmtId="0" fontId="6" fillId="3" borderId="0" applyAlignment="1" pivotButton="0" quotePrefix="0" xfId="0">
      <alignment horizontal="center" vertical="center"/>
    </xf>
    <xf numFmtId="0" fontId="6" fillId="6" borderId="0" applyAlignment="1" pivotButton="0" quotePrefix="0" xfId="0">
      <alignment horizontal="center" vertical="center"/>
    </xf>
    <xf numFmtId="0" fontId="6" fillId="2" borderId="0" applyAlignment="1" pivotButton="0" quotePrefix="0" xfId="0">
      <alignment horizontal="center" vertical="center"/>
    </xf>
    <xf numFmtId="0" fontId="6" fillId="9" borderId="0" applyAlignment="1" pivotButton="0" quotePrefix="0" xfId="0">
      <alignment horizontal="center" vertical="center"/>
    </xf>
    <xf numFmtId="0" fontId="6" fillId="11" borderId="0" applyAlignment="1" pivotButton="0" quotePrefix="0" xfId="0">
      <alignment horizontal="center" vertical="center"/>
    </xf>
    <xf numFmtId="0" fontId="7" fillId="4" borderId="0" applyAlignment="1" pivotButton="0" quotePrefix="0" xfId="0">
      <alignment horizontal="center" vertical="center" wrapText="1"/>
    </xf>
    <xf numFmtId="0" fontId="7" fillId="7" borderId="0" applyAlignment="1" pivotButton="0" quotePrefix="0" xfId="0">
      <alignment horizontal="center" vertical="center" wrapText="1"/>
    </xf>
    <xf numFmtId="0" fontId="7" fillId="8" borderId="0" applyAlignment="1" pivotButton="0" quotePrefix="0" xfId="0">
      <alignment horizontal="center" vertical="center" wrapText="1"/>
    </xf>
    <xf numFmtId="0" fontId="7" fillId="10" borderId="0" applyAlignment="1" pivotButton="0" quotePrefix="0" xfId="0">
      <alignment horizontal="center" vertical="center" wrapText="1"/>
    </xf>
    <xf numFmtId="0" fontId="7" fillId="5" borderId="0" applyAlignment="1" pivotButton="0" quotePrefix="0" xfId="0">
      <alignment horizontal="center" vertical="center" wrapText="1"/>
    </xf>
    <xf numFmtId="0" fontId="6" fillId="12" borderId="0" applyAlignment="1" pivotButton="0" quotePrefix="0" xfId="0">
      <alignment horizontal="center" vertical="center"/>
    </xf>
    <xf numFmtId="0" fontId="6" fillId="14" borderId="0" applyAlignment="1" pivotButton="0" quotePrefix="0" xfId="0">
      <alignment horizontal="center" vertical="center"/>
    </xf>
    <xf numFmtId="0" fontId="6" fillId="15" borderId="0" applyAlignment="1" pivotButton="0" quotePrefix="0" xfId="0">
      <alignment horizontal="center" vertical="center"/>
    </xf>
    <xf numFmtId="0" fontId="7" fillId="13" borderId="0" applyAlignment="1" pivotButton="0" quotePrefix="0" xfId="0">
      <alignment horizontal="center" vertical="center" wrapText="1"/>
    </xf>
    <xf numFmtId="0" fontId="7" fillId="16" borderId="0" applyAlignment="1" pivotButton="0" quotePrefix="0" xfId="0">
      <alignment horizontal="center" vertical="center" wrapText="1"/>
    </xf>
    <xf numFmtId="0" fontId="8" fillId="2" borderId="0" applyAlignment="1" pivotButton="0" quotePrefix="0" xfId="0">
      <alignment horizontal="center" vertical="center"/>
    </xf>
    <xf numFmtId="0" fontId="4" fillId="4" borderId="1" applyAlignment="1" pivotButton="0" quotePrefix="0" xfId="0">
      <alignment horizontal="left" vertical="center"/>
    </xf>
    <xf numFmtId="0" fontId="5" fillId="17" borderId="1" applyAlignment="1" pivotButton="0" quotePrefix="0" xfId="0">
      <alignment horizontal="center" vertical="center"/>
    </xf>
    <xf numFmtId="0" fontId="5" fillId="5" borderId="1" applyAlignment="1" pivotButton="0" quotePrefix="0" xfId="0">
      <alignment horizontal="center" vertical="center"/>
    </xf>
    <xf numFmtId="0" fontId="5" fillId="16" borderId="1" applyAlignment="1" pivotButton="0" quotePrefix="0" xfId="0">
      <alignment horizontal="center" vertical="center"/>
    </xf>
    <xf numFmtId="0" fontId="5" fillId="18" borderId="1" applyAlignment="1" pivotButton="0" quotePrefix="0" xfId="0">
      <alignment horizontal="left" vertical="center"/>
    </xf>
    <xf numFmtId="0" fontId="9" fillId="2" borderId="0" applyAlignment="1" pivotButton="0" quotePrefix="0" xfId="0">
      <alignment horizontal="center" vertical="center" wrapText="1"/>
    </xf>
    <xf numFmtId="0" fontId="10" fillId="17" borderId="1" applyAlignment="1" pivotButton="0" quotePrefix="0" xfId="0">
      <alignment horizontal="left" vertical="center"/>
    </xf>
    <xf numFmtId="0" fontId="11"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12" fillId="17" borderId="1" applyAlignment="1" pivotButton="0" quotePrefix="0" xfId="0">
      <alignment horizontal="center" vertical="center"/>
    </xf>
    <xf numFmtId="0" fontId="12" fillId="4" borderId="1" applyAlignment="1" pivotButton="0" quotePrefix="0" xfId="0">
      <alignment horizontal="left" vertical="center"/>
    </xf>
    <xf numFmtId="0" fontId="12" fillId="18" borderId="1" applyAlignment="1" pivotButton="0" quotePrefix="0" xfId="0">
      <alignment horizontal="left" vertical="center" wrapText="1"/>
    </xf>
    <xf numFmtId="0" fontId="12" fillId="18" borderId="1"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vertical="center"/>
    </xf>
    <xf numFmtId="0" fontId="13" fillId="4" borderId="1" applyAlignment="1" pivotButton="0" quotePrefix="0" xfId="0">
      <alignment horizontal="center" vertical="center"/>
    </xf>
    <xf numFmtId="0" fontId="13" fillId="4" borderId="1" applyAlignment="1" pivotButton="0" quotePrefix="0" xfId="0">
      <alignment horizontal="left" vertical="center" wrapText="1"/>
    </xf>
    <xf numFmtId="0" fontId="12" fillId="17" borderId="1" applyAlignment="1" pivotButton="0" quotePrefix="0" xfId="0">
      <alignment horizontal="left" vertical="center" wrapText="1"/>
    </xf>
    <xf numFmtId="0" fontId="12" fillId="5" borderId="1" applyAlignment="1" pivotButton="0" quotePrefix="0" xfId="0">
      <alignment horizontal="right" vertical="center"/>
    </xf>
    <xf numFmtId="0" fontId="5" fillId="5" borderId="1" applyAlignment="1" pivotButton="0" quotePrefix="0" xfId="0">
      <alignment horizontal="right" vertical="center"/>
    </xf>
    <xf numFmtId="0" fontId="5" fillId="17" borderId="1" applyAlignment="1" pivotButton="0" quotePrefix="0" xfId="0">
      <alignment horizontal="right" vertical="center"/>
    </xf>
    <xf numFmtId="0" fontId="5" fillId="18" borderId="1" applyAlignment="1" pivotButton="0" quotePrefix="0" xfId="0">
      <alignment horizontal="center" vertical="center"/>
    </xf>
    <xf numFmtId="0" fontId="5" fillId="18" borderId="1" applyAlignment="1" pivotButton="0" quotePrefix="0" xfId="0">
      <alignment horizontal="left" vertical="center" wrapText="1"/>
    </xf>
    <xf numFmtId="0" fontId="5" fillId="4" borderId="1" applyAlignment="1" pivotButton="0" quotePrefix="0" xfId="0">
      <alignment horizontal="right" vertical="center"/>
    </xf>
    <xf numFmtId="0" fontId="14" fillId="17" borderId="1" applyAlignment="1" pivotButton="0" quotePrefix="0" xfId="0">
      <alignment horizontal="left" vertical="center" wrapText="1"/>
    </xf>
    <xf numFmtId="0" fontId="12" fillId="7" borderId="1" applyAlignment="1" pivotButton="0" quotePrefix="0" xfId="0">
      <alignment horizontal="center" vertical="center"/>
    </xf>
    <xf numFmtId="0" fontId="12" fillId="16" borderId="1" applyAlignment="1" pivotButton="0" quotePrefix="0" xfId="0">
      <alignment horizontal="center" vertical="center"/>
    </xf>
    <xf numFmtId="0" fontId="12" fillId="17" borderId="1" applyAlignment="1" pivotButton="0" quotePrefix="0" xfId="0">
      <alignment horizontal="left" vertical="center"/>
    </xf>
    <xf numFmtId="0" fontId="12" fillId="18" borderId="1" applyAlignment="1" pivotButton="0" quotePrefix="0" xfId="0">
      <alignment horizontal="left" vertical="center"/>
    </xf>
    <xf numFmtId="0" fontId="2" fillId="2" borderId="0" applyAlignment="1" pivotButton="0" quotePrefix="0" xfId="0">
      <alignment horizontal="center" vertical="center" wrapText="1"/>
    </xf>
    <xf numFmtId="0" fontId="15" fillId="5" borderId="1" applyAlignment="1" pivotButton="0" quotePrefix="0" xfId="0">
      <alignment horizontal="right" vertical="center"/>
    </xf>
    <xf numFmtId="0" fontId="5" fillId="2" borderId="1" applyAlignment="1" pivotButton="0" quotePrefix="0" xfId="0">
      <alignment horizontal="left" vertical="center"/>
    </xf>
    <xf numFmtId="0" fontId="5" fillId="4" borderId="1" applyAlignment="1" pivotButton="0" quotePrefix="0" xfId="0">
      <alignment horizontal="left" vertical="center"/>
    </xf>
    <xf numFmtId="0" fontId="16" fillId="7" borderId="1" applyAlignment="1" pivotButton="0" quotePrefix="0" xfId="0">
      <alignment horizontal="center" vertical="center"/>
    </xf>
    <xf numFmtId="0" fontId="2" fillId="2" borderId="1" applyAlignment="1" pivotButton="0" quotePrefix="0" xfId="0">
      <alignment horizontal="center" vertical="center"/>
    </xf>
    <xf numFmtId="0" fontId="14" fillId="17" borderId="1" applyAlignment="1" pivotButton="0" quotePrefix="0" xfId="0">
      <alignment horizontal="left" vertical="center"/>
    </xf>
    <xf numFmtId="0" fontId="0" fillId="0" borderId="4" pivotButton="0" quotePrefix="0" xfId="0"/>
    <xf numFmtId="0" fontId="0" fillId="0" borderId="5" pivotButton="0" quotePrefix="0" xfId="0"/>
    <xf numFmtId="0" fontId="8" fillId="19" borderId="0" applyAlignment="1" pivotButton="0" quotePrefix="0" xfId="0">
      <alignment horizontal="center" vertical="center" wrapText="1"/>
    </xf>
    <xf numFmtId="0" fontId="4" fillId="4" borderId="1" applyAlignment="1" pivotButton="0" quotePrefix="0" xfId="0">
      <alignment horizontal="right" vertical="center"/>
    </xf>
    <xf numFmtId="0" fontId="5" fillId="5" borderId="1" applyAlignment="1" pivotButton="0" quotePrefix="0" xfId="0">
      <alignment horizontal="left" vertical="center"/>
    </xf>
    <xf numFmtId="0" fontId="14" fillId="18" borderId="1" applyAlignment="1" pivotButton="0" quotePrefix="0" xfId="0">
      <alignment horizontal="left" vertical="center"/>
    </xf>
    <xf numFmtId="0" fontId="17" fillId="2" borderId="1" applyAlignment="1" pivotButton="0" quotePrefix="0" xfId="0">
      <alignment horizontal="center" vertical="center"/>
    </xf>
    <xf numFmtId="0" fontId="13" fillId="4" borderId="1" applyAlignment="1" pivotButton="0" quotePrefix="0" xfId="0">
      <alignment horizontal="right" vertical="center"/>
    </xf>
    <xf numFmtId="0" fontId="13" fillId="20" borderId="1" applyAlignment="1" pivotButton="0" quotePrefix="0" xfId="0">
      <alignment horizontal="right" vertical="center"/>
    </xf>
    <xf numFmtId="0" fontId="12" fillId="4" borderId="1" applyAlignment="1" pivotButton="0" quotePrefix="0" xfId="0">
      <alignment horizontal="center" vertical="center"/>
    </xf>
    <xf numFmtId="0" fontId="12" fillId="5" borderId="1" applyAlignment="1" pivotButton="0" quotePrefix="0" xfId="0">
      <alignment horizontal="right" vertical="center"/>
    </xf>
    <xf numFmtId="0" fontId="12" fillId="17" borderId="1" applyAlignment="1" pivotButton="0" quotePrefix="0" xfId="0">
      <alignment horizontal="right" vertical="center"/>
    </xf>
    <xf numFmtId="0" fontId="12" fillId="17" borderId="1" applyAlignment="1" pivotButton="0" quotePrefix="0" xfId="0">
      <alignment horizontal="center" vertical="center"/>
    </xf>
    <xf numFmtId="0" fontId="14" fillId="17" borderId="1" applyAlignment="1" pivotButton="0" quotePrefix="0" xfId="0">
      <alignment horizontal="center" vertical="center"/>
    </xf>
    <xf numFmtId="0" fontId="12" fillId="4" borderId="1" applyAlignment="1" pivotButton="0" quotePrefix="0" xfId="0">
      <alignment horizontal="right" vertical="center"/>
    </xf>
    <xf numFmtId="0" fontId="13" fillId="4" borderId="1" applyAlignment="1" pivotButton="0" quotePrefix="0" xfId="0">
      <alignment horizontal="center" vertical="center"/>
    </xf>
    <xf numFmtId="0" fontId="12" fillId="5" borderId="1" applyAlignment="1" pivotButton="0" quotePrefix="0" xfId="0">
      <alignment horizontal="center" vertical="center"/>
    </xf>
    <xf numFmtId="0" fontId="9" fillId="21" borderId="0" applyAlignment="1" pivotButton="0" quotePrefix="0" xfId="0">
      <alignment horizontal="center" vertical="center" wrapText="1"/>
    </xf>
    <xf numFmtId="0" fontId="8" fillId="2" borderId="0" applyAlignment="1" pivotButton="0" quotePrefix="0" xfId="0">
      <alignment horizontal="center" vertical="center" wrapText="1"/>
    </xf>
    <xf numFmtId="0" fontId="17" fillId="21" borderId="1" applyAlignment="1" pivotButton="0" quotePrefix="0" xfId="0">
      <alignment horizontal="center" vertical="center"/>
    </xf>
    <xf numFmtId="0" fontId="13" fillId="22" borderId="1" applyAlignment="1" pivotButton="0" quotePrefix="0" xfId="0">
      <alignment horizontal="center" vertical="center"/>
    </xf>
    <xf numFmtId="0" fontId="12" fillId="16" borderId="1" applyAlignment="1" pivotButton="0" quotePrefix="0" xfId="0">
      <alignment horizontal="center" vertical="center"/>
    </xf>
    <xf numFmtId="0" fontId="12" fillId="23" borderId="1" applyAlignment="1" pivotButton="0" quotePrefix="0" xfId="0">
      <alignment horizontal="center" vertical="center"/>
    </xf>
    <xf numFmtId="0" fontId="12" fillId="18" borderId="1" applyAlignment="1" pivotButton="0" quotePrefix="0" xfId="0">
      <alignment horizontal="center" vertical="center"/>
    </xf>
    <xf numFmtId="0" fontId="13" fillId="17" borderId="1" applyAlignment="1" pivotButton="0" quotePrefix="0" xfId="0">
      <alignment horizontal="left" vertical="center" wrapText="1"/>
    </xf>
    <xf numFmtId="0" fontId="13" fillId="16" borderId="1" applyAlignment="1" pivotButton="0" quotePrefix="0" xfId="0">
      <alignment horizontal="center" vertical="center" wrapText="1"/>
    </xf>
    <xf numFmtId="0" fontId="13" fillId="18" borderId="1" applyAlignment="1" pivotButton="0" quotePrefix="0" xfId="0">
      <alignment horizontal="left" vertical="center" wrapText="1"/>
    </xf>
    <xf numFmtId="0" fontId="13" fillId="16" borderId="1" applyAlignment="1" pivotButton="0" quotePrefix="0" xfId="0">
      <alignment horizontal="right" vertical="center"/>
    </xf>
    <xf numFmtId="0" fontId="8" fillId="21" borderId="0" applyAlignment="1" pivotButton="0" quotePrefix="0" xfId="0">
      <alignment horizontal="center" vertical="center" wrapText="1"/>
    </xf>
    <xf numFmtId="0" fontId="8" fillId="21" borderId="1" applyAlignment="1" pivotButton="0" quotePrefix="0" xfId="0">
      <alignment horizontal="right" vertical="center"/>
    </xf>
    <xf numFmtId="0" fontId="5" fillId="21" borderId="1" applyAlignment="1" pivotButton="0" quotePrefix="0" xfId="0">
      <alignment horizontal="left" vertical="center"/>
    </xf>
    <xf numFmtId="0" fontId="9" fillId="24" borderId="0" applyAlignment="1" pivotButton="0" quotePrefix="0" xfId="0">
      <alignment horizontal="center" vertical="center" wrapText="1"/>
    </xf>
    <xf numFmtId="0" fontId="17" fillId="24" borderId="1" applyAlignment="1" pivotButton="0" quotePrefix="0" xfId="0">
      <alignment horizontal="center" vertical="center"/>
    </xf>
    <xf numFmtId="0" fontId="12" fillId="7" borderId="1" applyAlignment="1" pivotButton="0" quotePrefix="0" xfId="0">
      <alignment horizontal="center" vertical="center"/>
    </xf>
    <xf numFmtId="0" fontId="12" fillId="20" borderId="1" applyAlignment="1" pivotButton="0" quotePrefix="0" xfId="0">
      <alignment horizontal="right" vertical="center"/>
    </xf>
    <xf numFmtId="0" fontId="13" fillId="23" borderId="1" applyAlignment="1" pivotButton="0" quotePrefix="0" xfId="0">
      <alignment horizontal="center" vertical="center"/>
    </xf>
    <xf numFmtId="0" fontId="14" fillId="18" borderId="1" applyAlignment="1" pivotButton="0" quotePrefix="0" xfId="0">
      <alignment horizontal="left" vertical="center" wrapText="1"/>
    </xf>
    <xf numFmtId="0" fontId="2" fillId="24" borderId="0" applyAlignment="1" pivotButton="0" quotePrefix="0" xfId="0">
      <alignment horizontal="center" vertical="center" wrapText="1"/>
    </xf>
    <xf numFmtId="0" fontId="3" fillId="24" borderId="1" applyAlignment="1" pivotButton="0" quotePrefix="0" xfId="0">
      <alignment horizontal="right" vertical="center"/>
    </xf>
    <xf numFmtId="0" fontId="5" fillId="24" borderId="1" applyAlignment="1" pivotButton="0" quotePrefix="0" xfId="0">
      <alignment horizontal="left" vertical="center"/>
    </xf>
    <xf numFmtId="0" fontId="8" fillId="2" borderId="1" applyAlignment="1" pivotButton="0" quotePrefix="0" xfId="0">
      <alignment horizontal="left" vertical="center"/>
    </xf>
    <xf numFmtId="0" fontId="8" fillId="2" borderId="1" applyAlignment="1" pivotButton="0" quotePrefix="0" xfId="0">
      <alignment horizontal="center" vertical="center"/>
    </xf>
    <xf numFmtId="0" fontId="8" fillId="2" borderId="1" applyAlignment="1" pivotButton="0" quotePrefix="0" xfId="0">
      <alignment horizontal="right" vertical="center"/>
    </xf>
    <xf numFmtId="0" fontId="5" fillId="2" borderId="1" applyAlignment="1" pivotButton="0" quotePrefix="0" xfId="0">
      <alignment horizontal="left" vertical="center"/>
    </xf>
    <xf numFmtId="0" fontId="5" fillId="18" borderId="1" applyAlignment="1" pivotButton="0" quotePrefix="0" xfId="0">
      <alignment horizontal="left" vertical="center"/>
    </xf>
    <xf numFmtId="0" fontId="5" fillId="17" borderId="1" applyAlignment="1" pivotButton="0" quotePrefix="0" xfId="0">
      <alignment horizontal="center" vertical="center"/>
    </xf>
    <xf numFmtId="0" fontId="5" fillId="5" borderId="1" applyAlignment="1" pivotButton="0" quotePrefix="0" xfId="0">
      <alignment horizontal="right" vertical="center"/>
    </xf>
    <xf numFmtId="0" fontId="4" fillId="4" borderId="1" applyAlignment="1" pivotButton="0" quotePrefix="0" xfId="0">
      <alignment horizontal="left" vertical="center"/>
    </xf>
    <xf numFmtId="0" fontId="4" fillId="17"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right" vertical="center"/>
    </xf>
    <xf numFmtId="0" fontId="5" fillId="5" borderId="1" applyAlignment="1" pivotButton="0" quotePrefix="0" xfId="0">
      <alignment horizontal="left" vertical="center"/>
    </xf>
    <xf numFmtId="0" fontId="14" fillId="18" borderId="1" applyAlignment="1" pivotButton="0" quotePrefix="0" xfId="0">
      <alignment horizontal="left" vertical="center"/>
    </xf>
    <xf numFmtId="0" fontId="17" fillId="2" borderId="1" applyAlignment="1" pivotButton="0" quotePrefix="0" xfId="0">
      <alignment horizontal="center" vertical="center"/>
    </xf>
    <xf numFmtId="0" fontId="13" fillId="4" borderId="1" applyAlignment="1" pivotButton="0" quotePrefix="0" xfId="0">
      <alignment horizontal="right" vertical="center"/>
    </xf>
    <xf numFmtId="0" fontId="13" fillId="20" borderId="1" applyAlignment="1" pivotButton="0" quotePrefix="0" xfId="0">
      <alignment horizontal="right" vertical="center"/>
    </xf>
    <xf numFmtId="0" fontId="12" fillId="4" borderId="1" applyAlignment="1" pivotButton="0" quotePrefix="0" xfId="0">
      <alignment horizontal="center" vertical="center"/>
    </xf>
    <xf numFmtId="0" fontId="12" fillId="5" borderId="1" applyAlignment="1" pivotButton="0" quotePrefix="0" xfId="0">
      <alignment horizontal="right" vertical="center"/>
    </xf>
    <xf numFmtId="0" fontId="12" fillId="17" borderId="1" applyAlignment="1" pivotButton="0" quotePrefix="0" xfId="0">
      <alignment horizontal="right" vertical="center"/>
    </xf>
    <xf numFmtId="0" fontId="12" fillId="17" borderId="1" applyAlignment="1" pivotButton="0" quotePrefix="0" xfId="0">
      <alignment horizontal="center" vertical="center"/>
    </xf>
    <xf numFmtId="0" fontId="14" fillId="17" borderId="1" applyAlignment="1" pivotButton="0" quotePrefix="0" xfId="0">
      <alignment horizontal="center" vertical="center"/>
    </xf>
    <xf numFmtId="0" fontId="12" fillId="4" borderId="1" applyAlignment="1" pivotButton="0" quotePrefix="0" xfId="0">
      <alignment horizontal="right" vertical="center"/>
    </xf>
    <xf numFmtId="0" fontId="13" fillId="4" borderId="1" applyAlignment="1" pivotButton="0" quotePrefix="0" xfId="0">
      <alignment horizontal="center" vertical="center"/>
    </xf>
    <xf numFmtId="0" fontId="12" fillId="5" borderId="1" applyAlignment="1" pivotButton="0" quotePrefix="0" xfId="0">
      <alignment horizontal="center" vertical="center"/>
    </xf>
    <xf numFmtId="0" fontId="17" fillId="21" borderId="1" applyAlignment="1" pivotButton="0" quotePrefix="0" xfId="0">
      <alignment horizontal="center" vertical="center"/>
    </xf>
    <xf numFmtId="0" fontId="13" fillId="22" borderId="1" applyAlignment="1" pivotButton="0" quotePrefix="0" xfId="0">
      <alignment horizontal="center" vertical="center"/>
    </xf>
    <xf numFmtId="0" fontId="12" fillId="16" borderId="1" applyAlignment="1" pivotButton="0" quotePrefix="0" xfId="0">
      <alignment horizontal="center" vertical="center"/>
    </xf>
    <xf numFmtId="0" fontId="12" fillId="23" borderId="1" applyAlignment="1" pivotButton="0" quotePrefix="0" xfId="0">
      <alignment horizontal="center" vertical="center"/>
    </xf>
    <xf numFmtId="0" fontId="12" fillId="18" borderId="1" applyAlignment="1" pivotButton="0" quotePrefix="0" xfId="0">
      <alignment horizontal="center" vertical="center"/>
    </xf>
    <xf numFmtId="0" fontId="13" fillId="16" borderId="1" applyAlignment="1" pivotButton="0" quotePrefix="0" xfId="0">
      <alignment horizontal="right" vertical="center"/>
    </xf>
    <xf numFmtId="0" fontId="8" fillId="21" borderId="1" applyAlignment="1" pivotButton="0" quotePrefix="0" xfId="0">
      <alignment horizontal="right" vertical="center"/>
    </xf>
    <xf numFmtId="0" fontId="5" fillId="21" borderId="1" applyAlignment="1" pivotButton="0" quotePrefix="0" xfId="0">
      <alignment horizontal="left" vertical="center"/>
    </xf>
    <xf numFmtId="0" fontId="17" fillId="24" borderId="1" applyAlignment="1" pivotButton="0" quotePrefix="0" xfId="0">
      <alignment horizontal="center" vertical="center"/>
    </xf>
    <xf numFmtId="0" fontId="12" fillId="7" borderId="1" applyAlignment="1" pivotButton="0" quotePrefix="0" xfId="0">
      <alignment horizontal="center" vertical="center"/>
    </xf>
    <xf numFmtId="0" fontId="12" fillId="20" borderId="1" applyAlignment="1" pivotButton="0" quotePrefix="0" xfId="0">
      <alignment horizontal="right" vertical="center"/>
    </xf>
    <xf numFmtId="0" fontId="13" fillId="23" borderId="1" applyAlignment="1" pivotButton="0" quotePrefix="0" xfId="0">
      <alignment horizontal="center" vertical="center"/>
    </xf>
    <xf numFmtId="0" fontId="3" fillId="24" borderId="1" applyAlignment="1" pivotButton="0" quotePrefix="0" xfId="0">
      <alignment horizontal="right" vertical="center"/>
    </xf>
    <xf numFmtId="0" fontId="5" fillId="24" borderId="1" applyAlignment="1" pivotButton="0" quotePrefix="0" xfId="0">
      <alignment horizontal="left" vertical="center"/>
    </xf>
    <xf numFmtId="0" fontId="8" fillId="2" borderId="1" applyAlignment="1" pivotButton="0" quotePrefix="0" xfId="0">
      <alignment horizontal="left" vertical="center"/>
    </xf>
    <xf numFmtId="0" fontId="8" fillId="2" borderId="1" applyAlignment="1" pivotButton="0" quotePrefix="0" xfId="0">
      <alignment horizontal="center" vertical="center"/>
    </xf>
    <xf numFmtId="0" fontId="8" fillId="2" borderId="1" applyAlignment="1" pivotButton="0" quotePrefix="0" xfId="0">
      <alignment horizontal="right" vertical="center"/>
    </xf>
    <xf numFmtId="0" fontId="5" fillId="2" borderId="1" applyAlignment="1" pivotButton="0" quotePrefix="0" xfId="0">
      <alignment horizontal="left" vertical="center"/>
    </xf>
    <xf numFmtId="0" fontId="5" fillId="18" borderId="1" applyAlignment="1" pivotButton="0" quotePrefix="0" xfId="0">
      <alignment horizontal="left" vertical="center"/>
    </xf>
    <xf numFmtId="0" fontId="5" fillId="17" borderId="1" applyAlignment="1" pivotButton="0" quotePrefix="0" xfId="0">
      <alignment horizontal="center" vertical="center"/>
    </xf>
    <xf numFmtId="0" fontId="5" fillId="5" borderId="1" applyAlignment="1" pivotButton="0" quotePrefix="0" xfId="0">
      <alignment horizontal="right" vertical="center"/>
    </xf>
    <xf numFmtId="0" fontId="4" fillId="4" borderId="1" applyAlignment="1" pivotButton="0" quotePrefix="0" xfId="0">
      <alignment horizontal="left" vertical="center"/>
    </xf>
    <xf numFmtId="0" fontId="4" fillId="17"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right" vertical="center"/>
    </xf>
    <xf numFmtId="0" fontId="5" fillId="5" borderId="1" applyAlignment="1" pivotButton="0" quotePrefix="0" xfId="0">
      <alignment horizontal="left" vertical="center"/>
    </xf>
    <xf numFmtId="0" fontId="14" fillId="18" borderId="1" applyAlignment="1" pivotButton="0" quotePrefix="0" xfId="0">
      <alignment horizontal="left" vertical="center"/>
    </xf>
    <xf numFmtId="0" fontId="17" fillId="2" borderId="1" applyAlignment="1" pivotButton="0" quotePrefix="0" xfId="0">
      <alignment horizontal="center" vertical="center"/>
    </xf>
    <xf numFmtId="0" fontId="13" fillId="4" borderId="1" applyAlignment="1" pivotButton="0" quotePrefix="0" xfId="0">
      <alignment horizontal="right" vertical="center"/>
    </xf>
    <xf numFmtId="0" fontId="13" fillId="20" borderId="1" applyAlignment="1" pivotButton="0" quotePrefix="0" xfId="0">
      <alignment horizontal="right" vertical="center"/>
    </xf>
    <xf numFmtId="0" fontId="12" fillId="4" borderId="1" applyAlignment="1" pivotButton="0" quotePrefix="0" xfId="0">
      <alignment horizontal="center" vertical="center"/>
    </xf>
    <xf numFmtId="0" fontId="12" fillId="5" borderId="1" applyAlignment="1" pivotButton="0" quotePrefix="0" xfId="0">
      <alignment horizontal="right" vertical="center"/>
    </xf>
    <xf numFmtId="0" fontId="12" fillId="17" borderId="1" applyAlignment="1" pivotButton="0" quotePrefix="0" xfId="0">
      <alignment horizontal="right" vertical="center"/>
    </xf>
    <xf numFmtId="0" fontId="12" fillId="17" borderId="1" applyAlignment="1" pivotButton="0" quotePrefix="0" xfId="0">
      <alignment horizontal="center" vertical="center"/>
    </xf>
    <xf numFmtId="0" fontId="14" fillId="17" borderId="1" applyAlignment="1" pivotButton="0" quotePrefix="0" xfId="0">
      <alignment horizontal="center" vertical="center"/>
    </xf>
    <xf numFmtId="0" fontId="12" fillId="4" borderId="1" applyAlignment="1" pivotButton="0" quotePrefix="0" xfId="0">
      <alignment horizontal="right" vertical="center"/>
    </xf>
    <xf numFmtId="0" fontId="13" fillId="4" borderId="1" applyAlignment="1" pivotButton="0" quotePrefix="0" xfId="0">
      <alignment horizontal="center" vertical="center"/>
    </xf>
    <xf numFmtId="0" fontId="12" fillId="5" borderId="1" applyAlignment="1" pivotButton="0" quotePrefix="0" xfId="0">
      <alignment horizontal="center" vertical="center"/>
    </xf>
    <xf numFmtId="0" fontId="17" fillId="21" borderId="1" applyAlignment="1" pivotButton="0" quotePrefix="0" xfId="0">
      <alignment horizontal="center" vertical="center"/>
    </xf>
    <xf numFmtId="0" fontId="13" fillId="22" borderId="1" applyAlignment="1" pivotButton="0" quotePrefix="0" xfId="0">
      <alignment horizontal="center" vertical="center"/>
    </xf>
    <xf numFmtId="0" fontId="12" fillId="16" borderId="1" applyAlignment="1" pivotButton="0" quotePrefix="0" xfId="0">
      <alignment horizontal="center" vertical="center"/>
    </xf>
    <xf numFmtId="0" fontId="12" fillId="23" borderId="1" applyAlignment="1" pivotButton="0" quotePrefix="0" xfId="0">
      <alignment horizontal="center" vertical="center"/>
    </xf>
    <xf numFmtId="0" fontId="12" fillId="18" borderId="1" applyAlignment="1" pivotButton="0" quotePrefix="0" xfId="0">
      <alignment horizontal="center" vertical="center"/>
    </xf>
    <xf numFmtId="0" fontId="13" fillId="16" borderId="1" applyAlignment="1" pivotButton="0" quotePrefix="0" xfId="0">
      <alignment horizontal="right" vertical="center"/>
    </xf>
    <xf numFmtId="0" fontId="8" fillId="21" borderId="1" applyAlignment="1" pivotButton="0" quotePrefix="0" xfId="0">
      <alignment horizontal="right" vertical="center"/>
    </xf>
    <xf numFmtId="0" fontId="5" fillId="21" borderId="1" applyAlignment="1" pivotButton="0" quotePrefix="0" xfId="0">
      <alignment horizontal="left" vertical="center"/>
    </xf>
    <xf numFmtId="0" fontId="17" fillId="24" borderId="1" applyAlignment="1" pivotButton="0" quotePrefix="0" xfId="0">
      <alignment horizontal="center" vertical="center"/>
    </xf>
    <xf numFmtId="0" fontId="12" fillId="7" borderId="1" applyAlignment="1" pivotButton="0" quotePrefix="0" xfId="0">
      <alignment horizontal="center" vertical="center"/>
    </xf>
    <xf numFmtId="0" fontId="12" fillId="20" borderId="1" applyAlignment="1" pivotButton="0" quotePrefix="0" xfId="0">
      <alignment horizontal="right" vertical="center"/>
    </xf>
    <xf numFmtId="0" fontId="13" fillId="23" borderId="1" applyAlignment="1" pivotButton="0" quotePrefix="0" xfId="0">
      <alignment horizontal="center" vertical="center"/>
    </xf>
    <xf numFmtId="0" fontId="3" fillId="24" borderId="1" applyAlignment="1" pivotButton="0" quotePrefix="0" xfId="0">
      <alignment horizontal="right" vertical="center"/>
    </xf>
    <xf numFmtId="0" fontId="5" fillId="24" borderId="1" applyAlignment="1" pivotButton="0" quotePrefix="0" xfId="0">
      <alignment horizontal="left" vertical="center"/>
    </xf>
    <xf numFmtId="0" fontId="8" fillId="2" borderId="1" applyAlignment="1" pivotButton="0" quotePrefix="0" xfId="0">
      <alignment horizontal="left" vertical="center"/>
    </xf>
    <xf numFmtId="0" fontId="8" fillId="2" borderId="1" applyAlignment="1" pivotButton="0" quotePrefix="0" xfId="0">
      <alignment horizontal="center" vertical="center"/>
    </xf>
    <xf numFmtId="0" fontId="8" fillId="2" borderId="1" applyAlignment="1" pivotButton="0" quotePrefix="0" xfId="0">
      <alignment horizontal="right" vertical="center"/>
    </xf>
    <xf numFmtId="0" fontId="5" fillId="2" borderId="1" applyAlignment="1" pivotButton="0" quotePrefix="0" xfId="0">
      <alignment horizontal="left" vertical="center"/>
    </xf>
    <xf numFmtId="0" fontId="5" fillId="18" borderId="1" applyAlignment="1" pivotButton="0" quotePrefix="0" xfId="0">
      <alignment horizontal="left" vertical="center"/>
    </xf>
    <xf numFmtId="0" fontId="5" fillId="17" borderId="1" applyAlignment="1" pivotButton="0" quotePrefix="0" xfId="0">
      <alignment horizontal="center" vertical="center"/>
    </xf>
    <xf numFmtId="0" fontId="5" fillId="5" borderId="1" applyAlignment="1" pivotButton="0" quotePrefix="0" xfId="0">
      <alignment horizontal="right" vertical="center"/>
    </xf>
    <xf numFmtId="0" fontId="4" fillId="4" borderId="1" applyAlignment="1" pivotButton="0" quotePrefix="0" xfId="0">
      <alignment horizontal="left" vertical="center"/>
    </xf>
    <xf numFmtId="0" fontId="4" fillId="17" borderId="1" applyAlignment="1" pivotButton="0" quotePrefix="0" xfId="0">
      <alignment horizontal="center" vertical="center"/>
    </xf>
    <xf numFmtId="0" fontId="5" fillId="4" borderId="1" applyAlignment="1" pivotButton="0" quotePrefix="0" xfId="0">
      <alignment horizontal="left" vertical="center"/>
    </xf>
    <xf numFmtId="0" fontId="8" fillId="2" borderId="1" applyAlignment="1" pivotButton="0" quotePrefix="0" xfId="0">
      <alignment horizontal="center" vertical="center"/>
    </xf>
    <xf numFmtId="0" fontId="12" fillId="17" borderId="1" applyAlignment="1" pivotButton="0" quotePrefix="0" xfId="0">
      <alignment horizontal="left" vertical="center"/>
    </xf>
    <xf numFmtId="0" fontId="12" fillId="17" borderId="1" applyAlignment="1" pivotButton="0" quotePrefix="0" xfId="0">
      <alignment horizontal="center" vertical="center"/>
    </xf>
    <xf numFmtId="0" fontId="12" fillId="25" borderId="1" applyAlignment="1" pivotButton="0" quotePrefix="0" xfId="0">
      <alignment horizontal="right" vertical="center"/>
    </xf>
    <xf numFmtId="0" fontId="12" fillId="20" borderId="1" applyAlignment="1" pivotButton="0" quotePrefix="0" xfId="0">
      <alignment horizontal="right" vertical="center"/>
    </xf>
    <xf numFmtId="0" fontId="12" fillId="5" borderId="1" applyAlignment="1" pivotButton="0" quotePrefix="0" xfId="0">
      <alignment horizontal="left" vertical="center"/>
    </xf>
    <xf numFmtId="0" fontId="12" fillId="4" borderId="1" applyAlignment="1" pivotButton="0" quotePrefix="0" xfId="0">
      <alignment horizontal="left" vertical="center"/>
    </xf>
    <xf numFmtId="0" fontId="12" fillId="16" borderId="1" applyAlignment="1" pivotButton="0" quotePrefix="0" xfId="0">
      <alignment horizontal="left" vertical="center" wrapText="1"/>
    </xf>
    <xf numFmtId="0" fontId="12" fillId="18" borderId="1" applyAlignment="1" pivotButton="0" quotePrefix="0" xfId="0">
      <alignment horizontal="left" vertical="center"/>
    </xf>
    <xf numFmtId="0" fontId="12" fillId="18" borderId="1" applyAlignment="1" pivotButton="0" quotePrefix="0" xfId="0">
      <alignment horizontal="center" vertical="center"/>
    </xf>
    <xf numFmtId="0" fontId="8" fillId="2" borderId="1" applyAlignment="1" pivotButton="0" quotePrefix="0" xfId="0">
      <alignment horizontal="right" vertical="center"/>
    </xf>
    <xf numFmtId="0" fontId="12" fillId="4" borderId="1" applyAlignment="1" pivotButton="0" quotePrefix="0" xfId="0">
      <alignment horizontal="left" vertical="center" wrapText="1"/>
    </xf>
    <xf numFmtId="0" fontId="12" fillId="5" borderId="1" applyAlignment="1" pivotButton="0" quotePrefix="0" xfId="0">
      <alignment horizontal="center" vertical="center"/>
    </xf>
    <xf numFmtId="0" fontId="13" fillId="4" borderId="1" applyAlignment="1" pivotButton="0" quotePrefix="0" xfId="0">
      <alignment horizontal="left" vertical="center"/>
    </xf>
    <xf numFmtId="0" fontId="12" fillId="23" borderId="1" applyAlignment="1" pivotButton="0" quotePrefix="0" xfId="0">
      <alignment horizontal="left" vertical="center" wrapText="1"/>
    </xf>
    <xf numFmtId="0" fontId="12" fillId="16" borderId="1" applyAlignment="1" pivotButton="0" quotePrefix="0" xfId="0">
      <alignment horizontal="center" vertical="center"/>
    </xf>
    <xf numFmtId="0" fontId="13" fillId="4" borderId="1" applyAlignment="1" pivotButton="0" quotePrefix="0" xfId="0">
      <alignment horizontal="center" vertical="center"/>
    </xf>
    <xf numFmtId="0" fontId="12" fillId="7" borderId="1" applyAlignment="1" pivotButton="0" quotePrefix="0" xfId="0">
      <alignment horizontal="center" vertical="center"/>
    </xf>
    <xf numFmtId="0" fontId="14" fillId="5" borderId="1" applyAlignment="1" pivotButton="0" quotePrefix="0" xfId="0">
      <alignment horizontal="right" vertical="center"/>
    </xf>
    <xf numFmtId="0" fontId="13" fillId="16" borderId="1" applyAlignment="1" pivotButton="0" quotePrefix="0" xfId="0">
      <alignment horizontal="right" vertical="center"/>
    </xf>
    <xf numFmtId="0" fontId="18" fillId="16" borderId="1" applyAlignment="1" pivotButton="0" quotePrefix="0" xfId="0">
      <alignment horizontal="right" vertical="center"/>
    </xf>
    <xf numFmtId="0" fontId="8" fillId="15" borderId="0" applyAlignment="1" pivotButton="0" quotePrefix="0" xfId="0">
      <alignment horizontal="center" vertical="center" wrapText="1"/>
    </xf>
    <xf numFmtId="0" fontId="12" fillId="23" borderId="1" applyAlignment="1" pivotButton="0" quotePrefix="0" xfId="0">
      <alignment horizontal="center" vertical="center"/>
    </xf>
    <xf numFmtId="164" fontId="12" fillId="25" borderId="1" applyAlignment="1" pivotButton="0" quotePrefix="0" xfId="0">
      <alignment horizontal="center" vertical="center"/>
    </xf>
    <xf numFmtId="164" fontId="12" fillId="5" borderId="1" applyAlignment="1" pivotButton="0" quotePrefix="0" xfId="0">
      <alignment horizontal="center" vertical="center"/>
    </xf>
    <xf numFmtId="0" fontId="13" fillId="16" borderId="1" applyAlignment="1" pivotButton="0" quotePrefix="0" xfId="0">
      <alignment horizontal="center" vertical="center"/>
    </xf>
    <xf numFmtId="0" fontId="3" fillId="15" borderId="1" applyAlignment="1" pivotButton="0" quotePrefix="0" xfId="0">
      <alignment horizontal="right" vertical="center"/>
    </xf>
    <xf numFmtId="0" fontId="12" fillId="7" borderId="1" applyAlignment="1" pivotButton="0" quotePrefix="0" xfId="0">
      <alignment horizontal="left" vertical="center" wrapText="1"/>
    </xf>
    <xf numFmtId="0" fontId="13" fillId="26" borderId="1" applyAlignment="1" pivotButton="0" quotePrefix="0" xfId="0">
      <alignment horizontal="center" vertical="center"/>
    </xf>
    <xf numFmtId="0" fontId="1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selection activeCell="A1" sqref="A1"/>
    </sheetView>
  </sheetViews>
  <sheetFormatPr baseColWidth="8" defaultRowHeight="15"/>
  <cols>
    <col width="20" customWidth="1" min="1" max="1"/>
    <col width="18" customWidth="1" min="2" max="2"/>
    <col width="14" customWidth="1" min="3" max="3"/>
    <col width="12" customWidth="1" min="4" max="4"/>
    <col width="10" customWidth="1" min="5" max="5"/>
    <col width="10" customWidth="1" min="6" max="6"/>
    <col width="14" customWidth="1" min="7" max="7"/>
    <col width="22" customWidth="1" min="8" max="8"/>
  </cols>
  <sheetData>
    <row r="1" ht="45" customHeight="1">
      <c r="A1" s="1" t="inlineStr">
        <is>
          <t>PRATAP B SHETH &amp; CO. — AUDIT MANAGEMENT TOOL  |  FY 2025-26</t>
        </is>
      </c>
    </row>
    <row r="2" ht="25" customHeight="1">
      <c r="A2" s="2" t="inlineStr">
        <is>
          <t>Statutory Audit (Companies Act 2013)  |  Tax Audit (Section 44AB / Form 3CD)  |  Scrutiny Support</t>
        </is>
      </c>
    </row>
    <row r="4">
      <c r="A4" s="3" t="inlineStr">
        <is>
          <t>CLIENT MASTER INFORMATION</t>
        </is>
      </c>
    </row>
    <row r="5">
      <c r="A5" s="147" t="inlineStr">
        <is>
          <t>Client Name:</t>
        </is>
      </c>
      <c r="B5" s="148" t="inlineStr"/>
      <c r="C5" s="59" t="n"/>
      <c r="D5" s="60" t="n"/>
      <c r="E5" s="147" t="inlineStr">
        <is>
          <t>Audit Period:</t>
        </is>
      </c>
      <c r="F5" s="148" t="inlineStr">
        <is>
          <t>01-Apr-2025 to 31-Mar-2026</t>
        </is>
      </c>
      <c r="G5" s="59" t="n"/>
      <c r="H5" s="60" t="n"/>
    </row>
    <row r="6">
      <c r="A6" s="147" t="inlineStr">
        <is>
          <t>Client PAN:</t>
        </is>
      </c>
      <c r="B6" s="148" t="inlineStr"/>
      <c r="C6" s="59" t="n"/>
      <c r="D6" s="60" t="n"/>
      <c r="E6" s="147" t="inlineStr">
        <is>
          <t>Date of Appointment:</t>
        </is>
      </c>
      <c r="F6" s="148" t="inlineStr"/>
      <c r="G6" s="59" t="n"/>
      <c r="H6" s="60" t="n"/>
    </row>
    <row r="7">
      <c r="A7" s="147" t="inlineStr">
        <is>
          <t>CIN / LLPIN:</t>
        </is>
      </c>
      <c r="B7" s="148" t="inlineStr"/>
      <c r="C7" s="59" t="n"/>
      <c r="D7" s="60" t="n"/>
      <c r="E7" s="147" t="inlineStr">
        <is>
          <t>Previous Auditor:</t>
        </is>
      </c>
      <c r="F7" s="148" t="inlineStr"/>
      <c r="G7" s="59" t="n"/>
      <c r="H7" s="60" t="n"/>
    </row>
    <row r="8">
      <c r="A8" s="147" t="inlineStr">
        <is>
          <t>Auditor Name:</t>
        </is>
      </c>
      <c r="B8" s="148" t="inlineStr">
        <is>
          <t>Pratap B Sheth</t>
        </is>
      </c>
      <c r="C8" s="59" t="n"/>
      <c r="D8" s="60" t="n"/>
      <c r="E8" s="147" t="inlineStr">
        <is>
          <t>Balance Sheet Date:</t>
        </is>
      </c>
      <c r="F8" s="148" t="inlineStr">
        <is>
          <t>31-Mar-2026</t>
        </is>
      </c>
      <c r="G8" s="59" t="n"/>
      <c r="H8" s="60" t="n"/>
    </row>
    <row r="9">
      <c r="A9" s="147" t="inlineStr">
        <is>
          <t>Audit Period:</t>
        </is>
      </c>
      <c r="B9" s="148" t="inlineStr">
        <is>
          <t>01-Apr-2025 to 31-Mar-2026</t>
        </is>
      </c>
      <c r="C9" s="59" t="n"/>
      <c r="D9" s="60" t="n"/>
    </row>
    <row r="10">
      <c r="A10" s="147" t="inlineStr">
        <is>
          <t>Date of Appointment:</t>
        </is>
      </c>
      <c r="B10" s="148" t="inlineStr"/>
      <c r="C10" s="59" t="n"/>
      <c r="D10" s="60" t="n"/>
    </row>
    <row r="11">
      <c r="A11" s="147" t="inlineStr">
        <is>
          <t>Previous Auditor:</t>
        </is>
      </c>
      <c r="B11" s="148" t="inlineStr"/>
      <c r="C11" s="59" t="n"/>
      <c r="D11" s="60" t="n"/>
    </row>
    <row r="12">
      <c r="A12" s="147" t="inlineStr">
        <is>
          <t>Balance Sheet Date:</t>
        </is>
      </c>
      <c r="B12" s="148" t="inlineStr">
        <is>
          <t>31-Mar-2026</t>
        </is>
      </c>
      <c r="C12" s="59" t="n"/>
      <c r="D12" s="60" t="n"/>
    </row>
    <row r="13">
      <c r="A13" s="6" t="inlineStr">
        <is>
          <t>NAVIGATION — CLICK A MODULE TO JUMP</t>
        </is>
      </c>
    </row>
    <row r="14" ht="22" customHeight="1">
      <c r="A14" s="7" t="inlineStr">
        <is>
          <t>📋 Client Master</t>
        </is>
      </c>
      <c r="C14" s="8" t="inlineStr">
        <is>
          <t>🏢 Statutory Audit</t>
        </is>
      </c>
      <c r="E14" s="9" t="inlineStr">
        <is>
          <t>📜 CARO 2020</t>
        </is>
      </c>
      <c r="G14" s="10" t="inlineStr">
        <is>
          <t>💰 Tax Audit 3CD</t>
        </is>
      </c>
      <c r="I14" s="11" t="inlineStr">
        <is>
          <t>📊 Analytical Review</t>
        </is>
      </c>
    </row>
    <row r="15" ht="18" customHeight="1">
      <c r="A15" s="12" t="inlineStr">
        <is>
          <t>Complete client profile &amp; engagement details</t>
        </is>
      </c>
      <c r="C15" s="13" t="inlineStr">
        <is>
          <t>Companies Act 2013 full audit checklist</t>
        </is>
      </c>
      <c r="E15" s="14" t="inlineStr">
        <is>
          <t>Companies Auditor's Report Order clauses</t>
        </is>
      </c>
      <c r="G15" s="15" t="inlineStr">
        <is>
          <t>Form 3CD — all 44 clauses (Section 44AB)</t>
        </is>
      </c>
      <c r="I15" s="16" t="inlineStr">
        <is>
          <t>FS ratios, YoY comparison, trend analysis</t>
        </is>
      </c>
    </row>
    <row r="17" ht="22" customHeight="1">
      <c r="A17" s="17" t="inlineStr">
        <is>
          <t>🔍 Audit Queries</t>
        </is>
      </c>
      <c r="C17" s="18" t="inlineStr">
        <is>
          <t>📝 Working Papers</t>
        </is>
      </c>
      <c r="E17" s="19" t="inlineStr">
        <is>
          <t>🧾 Adjusting Entries</t>
        </is>
      </c>
      <c r="G17" s="8" t="inlineStr">
        <is>
          <t>✅ Completion Checklist</t>
        </is>
      </c>
      <c r="I17" s="7" t="inlineStr">
        <is>
          <t>📅 Time Budget</t>
        </is>
      </c>
    </row>
    <row r="18" ht="18" customHeight="1">
      <c r="A18" s="20" t="inlineStr">
        <is>
          <t>Query log with status tracking &amp; management</t>
        </is>
      </c>
      <c r="C18" s="14" t="inlineStr">
        <is>
          <t>Working paper index &amp; completion tracker</t>
        </is>
      </c>
      <c r="E18" s="21" t="inlineStr">
        <is>
          <t>Proposed/passed audit adjustments log</t>
        </is>
      </c>
      <c r="G18" s="13" t="inlineStr">
        <is>
          <t>Pre-sign-off &amp; file completion checklist</t>
        </is>
      </c>
      <c r="I18" s="12" t="inlineStr">
        <is>
          <t>Time budget vs actual tracking per area</t>
        </is>
      </c>
    </row>
    <row r="22">
      <c r="A22" s="3" t="inlineStr">
        <is>
          <t>AUDIT PROGRESS SUMMARY</t>
        </is>
      </c>
    </row>
    <row r="23">
      <c r="A23" s="22" t="inlineStr">
        <is>
          <t>Audit Area</t>
        </is>
      </c>
      <c r="B23" s="22" t="inlineStr">
        <is>
          <t>Total Items</t>
        </is>
      </c>
      <c r="C23" s="22" t="inlineStr">
        <is>
          <t>Completed</t>
        </is>
      </c>
      <c r="D23" s="22" t="inlineStr">
        <is>
          <t>Pending</t>
        </is>
      </c>
      <c r="E23" s="22" t="inlineStr">
        <is>
          <t>N/A</t>
        </is>
      </c>
      <c r="F23" s="22" t="inlineStr">
        <is>
          <t>% Done</t>
        </is>
      </c>
      <c r="G23" s="22" t="inlineStr">
        <is>
          <t>Status</t>
        </is>
      </c>
      <c r="H23" s="22" t="inlineStr">
        <is>
          <t>Remarks</t>
        </is>
      </c>
    </row>
    <row r="24">
      <c r="A24" s="182" t="inlineStr">
        <is>
          <t>Statutory Audit</t>
        </is>
      </c>
      <c r="B24" s="180" t="n">
        <v>0</v>
      </c>
      <c r="C24" s="180" t="n">
        <v>0</v>
      </c>
      <c r="D24" s="180" t="n">
        <v>0</v>
      </c>
      <c r="E24" s="180" t="n">
        <v>0</v>
      </c>
      <c r="F24" s="25">
        <f>IF(B24=0,"-",TEXT(C24/B24,"0%"))</f>
        <v/>
      </c>
      <c r="G24" s="26" t="inlineStr">
        <is>
          <t>Not Started</t>
        </is>
      </c>
      <c r="H24" s="179" t="inlineStr"/>
    </row>
    <row r="25">
      <c r="A25" s="182" t="inlineStr">
        <is>
          <t>CARO 2020</t>
        </is>
      </c>
      <c r="B25" s="180" t="n">
        <v>0</v>
      </c>
      <c r="C25" s="180" t="n">
        <v>0</v>
      </c>
      <c r="D25" s="180" t="n">
        <v>0</v>
      </c>
      <c r="E25" s="180" t="n">
        <v>0</v>
      </c>
      <c r="F25" s="25">
        <f>IF(B25=0,"-",TEXT(C25/B25,"0%"))</f>
        <v/>
      </c>
      <c r="G25" s="26" t="inlineStr">
        <is>
          <t>Not Started</t>
        </is>
      </c>
      <c r="H25" s="179" t="inlineStr"/>
    </row>
    <row r="26">
      <c r="A26" s="182" t="inlineStr">
        <is>
          <t>Tax Audit Form 3CD</t>
        </is>
      </c>
      <c r="B26" s="180" t="n">
        <v>0</v>
      </c>
      <c r="C26" s="180" t="n">
        <v>0</v>
      </c>
      <c r="D26" s="180" t="n">
        <v>0</v>
      </c>
      <c r="E26" s="180" t="n">
        <v>0</v>
      </c>
      <c r="F26" s="25">
        <f>IF(B26=0,"-",TEXT(C26/B26,"0%"))</f>
        <v/>
      </c>
      <c r="G26" s="26" t="inlineStr">
        <is>
          <t>Not Started</t>
        </is>
      </c>
      <c r="H26" s="179" t="inlineStr"/>
    </row>
    <row r="27">
      <c r="A27" s="182" t="inlineStr">
        <is>
          <t>Working Papers</t>
        </is>
      </c>
      <c r="B27" s="180" t="n">
        <v>0</v>
      </c>
      <c r="C27" s="180" t="n">
        <v>0</v>
      </c>
      <c r="D27" s="180" t="n">
        <v>0</v>
      </c>
      <c r="E27" s="180" t="n">
        <v>0</v>
      </c>
      <c r="F27" s="25">
        <f>IF(B27=0,"-",TEXT(C27/B27,"0%"))</f>
        <v/>
      </c>
      <c r="G27" s="26" t="inlineStr">
        <is>
          <t>Not Started</t>
        </is>
      </c>
      <c r="H27" s="179" t="inlineStr"/>
    </row>
    <row r="28">
      <c r="A28" s="182" t="inlineStr">
        <is>
          <t>Audit Queries</t>
        </is>
      </c>
      <c r="B28" s="180" t="n">
        <v>0</v>
      </c>
      <c r="C28" s="180" t="n">
        <v>0</v>
      </c>
      <c r="D28" s="180" t="n">
        <v>0</v>
      </c>
      <c r="E28" s="180" t="n">
        <v>0</v>
      </c>
      <c r="F28" s="25">
        <f>IF(B28=0,"-",TEXT(C28/B28,"0%"))</f>
        <v/>
      </c>
      <c r="G28" s="26" t="inlineStr">
        <is>
          <t>Not Started</t>
        </is>
      </c>
      <c r="H28" s="179" t="inlineStr"/>
    </row>
    <row r="29">
      <c r="A29" s="182" t="inlineStr">
        <is>
          <t>Adjusting Entries</t>
        </is>
      </c>
      <c r="B29" s="180" t="n">
        <v>0</v>
      </c>
      <c r="C29" s="180" t="n">
        <v>0</v>
      </c>
      <c r="D29" s="180" t="n">
        <v>0</v>
      </c>
      <c r="E29" s="180" t="n">
        <v>0</v>
      </c>
      <c r="F29" s="25">
        <f>IF(B29=0,"-",TEXT(C29/B29,"0%"))</f>
        <v/>
      </c>
      <c r="G29" s="26" t="inlineStr">
        <is>
          <t>Not Started</t>
        </is>
      </c>
      <c r="H29" s="179" t="inlineStr"/>
    </row>
    <row r="30">
      <c r="A30" s="182" t="inlineStr">
        <is>
          <t>Completion Checklist</t>
        </is>
      </c>
      <c r="B30" s="180" t="n">
        <v>0</v>
      </c>
      <c r="C30" s="180" t="n">
        <v>0</v>
      </c>
      <c r="D30" s="180" t="n">
        <v>0</v>
      </c>
      <c r="E30" s="180" t="n">
        <v>0</v>
      </c>
      <c r="F30" s="25">
        <f>IF(B30=0,"-",TEXT(C30/B30,"0%"))</f>
        <v/>
      </c>
      <c r="G30" s="26" t="inlineStr">
        <is>
          <t>Not Started</t>
        </is>
      </c>
      <c r="H30" s="179" t="inlineStr"/>
    </row>
  </sheetData>
  <mergeCells count="37">
    <mergeCell ref="B11:D11"/>
    <mergeCell ref="F5:H5"/>
    <mergeCell ref="A15:B15"/>
    <mergeCell ref="C15:D15"/>
    <mergeCell ref="I15:J15"/>
    <mergeCell ref="B8:D8"/>
    <mergeCell ref="F8:H8"/>
    <mergeCell ref="C14:D14"/>
    <mergeCell ref="E14:F14"/>
    <mergeCell ref="A1:H1"/>
    <mergeCell ref="E17:F17"/>
    <mergeCell ref="C18:D18"/>
    <mergeCell ref="G17:H17"/>
    <mergeCell ref="B10:D10"/>
    <mergeCell ref="B9:D9"/>
    <mergeCell ref="A18:B18"/>
    <mergeCell ref="G18:H18"/>
    <mergeCell ref="B6:D6"/>
    <mergeCell ref="I18:J18"/>
    <mergeCell ref="B5:D5"/>
    <mergeCell ref="E15:F15"/>
    <mergeCell ref="G15:H15"/>
    <mergeCell ref="A2:H2"/>
    <mergeCell ref="A14:B14"/>
    <mergeCell ref="G14:H14"/>
    <mergeCell ref="I14:J14"/>
    <mergeCell ref="A17:B17"/>
    <mergeCell ref="B7:D7"/>
    <mergeCell ref="C17:D17"/>
    <mergeCell ref="I17:J17"/>
    <mergeCell ref="A22:H22"/>
    <mergeCell ref="A4:H4"/>
    <mergeCell ref="F6:H6"/>
    <mergeCell ref="A13:H13"/>
    <mergeCell ref="F7:H7"/>
    <mergeCell ref="B12:D12"/>
    <mergeCell ref="E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showGridLines="0" workbookViewId="0">
      <selection activeCell="A1" sqref="A1"/>
    </sheetView>
  </sheetViews>
  <sheetFormatPr baseColWidth="8" defaultRowHeight="15"/>
  <cols>
    <col width="35" customWidth="1" min="1" max="1"/>
    <col width="20" customWidth="1" min="2" max="2"/>
    <col width="15" customWidth="1" min="3" max="3"/>
    <col width="15" customWidth="1" min="4" max="4"/>
    <col width="15" customWidth="1" min="5" max="5"/>
    <col width="25" customWidth="1" min="6" max="6"/>
  </cols>
  <sheetData>
    <row r="1">
      <c r="A1" s="28" t="inlineStr">
        <is>
          <t>CLIENT MASTER &amp; ENGAGEMENT PROFILE  |  FY 2025-26</t>
        </is>
      </c>
    </row>
    <row r="3">
      <c r="A3" s="2" t="inlineStr">
        <is>
          <t>A. BASIC IDENTIFICATION</t>
        </is>
      </c>
    </row>
    <row r="4">
      <c r="A4" s="182" t="inlineStr">
        <is>
          <t>Full Legal Name of Entity</t>
        </is>
      </c>
      <c r="B4" s="148" t="inlineStr"/>
      <c r="C4" s="59" t="n"/>
      <c r="D4" s="60" t="n"/>
      <c r="E4" s="29" t="inlineStr"/>
      <c r="F4" s="60" t="n"/>
    </row>
    <row r="5">
      <c r="A5" s="182" t="inlineStr">
        <is>
          <t>Trade Name / Brand Name</t>
        </is>
      </c>
      <c r="B5" s="148" t="inlineStr"/>
      <c r="C5" s="59" t="n"/>
      <c r="D5" s="60" t="n"/>
      <c r="E5" s="29" t="inlineStr"/>
      <c r="F5" s="60" t="n"/>
    </row>
    <row r="6">
      <c r="A6" s="182" t="inlineStr">
        <is>
          <t>Type of Entity</t>
        </is>
      </c>
      <c r="B6" s="148" t="inlineStr"/>
      <c r="C6" s="59" t="n"/>
      <c r="D6" s="60" t="n"/>
      <c r="E6" s="29" t="inlineStr">
        <is>
          <t>Company / LLP / Partnership / Proprietorship</t>
        </is>
      </c>
      <c r="F6" s="60" t="n"/>
    </row>
    <row r="7">
      <c r="A7" s="182" t="inlineStr">
        <is>
          <t>Company Category</t>
        </is>
      </c>
      <c r="B7" s="148" t="inlineStr"/>
      <c r="C7" s="59" t="n"/>
      <c r="D7" s="60" t="n"/>
      <c r="E7" s="29" t="inlineStr">
        <is>
          <t>Public / Private / Section 8 / OPC</t>
        </is>
      </c>
      <c r="F7" s="60" t="n"/>
    </row>
    <row r="8">
      <c r="A8" s="182" t="inlineStr">
        <is>
          <t>CIN / LLPIN / Registration No.</t>
        </is>
      </c>
      <c r="B8" s="148" t="inlineStr"/>
      <c r="C8" s="59" t="n"/>
      <c r="D8" s="60" t="n"/>
      <c r="E8" s="29" t="inlineStr"/>
      <c r="F8" s="60" t="n"/>
    </row>
    <row r="9">
      <c r="A9" s="182" t="inlineStr">
        <is>
          <t>Date of Incorporation</t>
        </is>
      </c>
      <c r="B9" s="148" t="inlineStr"/>
      <c r="C9" s="59" t="n"/>
      <c r="D9" s="60" t="n"/>
      <c r="E9" s="29" t="inlineStr"/>
      <c r="F9" s="60" t="n"/>
    </row>
    <row r="10">
      <c r="A10" s="182" t="inlineStr">
        <is>
          <t>Registered Office Address</t>
        </is>
      </c>
      <c r="B10" s="148" t="inlineStr"/>
      <c r="C10" s="59" t="n"/>
      <c r="D10" s="60" t="n"/>
      <c r="E10" s="29" t="inlineStr"/>
      <c r="F10" s="60" t="n"/>
    </row>
    <row r="11">
      <c r="A11" s="182" t="inlineStr">
        <is>
          <t>Principal Place of Business</t>
        </is>
      </c>
      <c r="B11" s="148" t="inlineStr"/>
      <c r="C11" s="59" t="n"/>
      <c r="D11" s="60" t="n"/>
      <c r="E11" s="29" t="inlineStr"/>
      <c r="F11" s="60" t="n"/>
    </row>
    <row r="12">
      <c r="A12" s="182" t="inlineStr">
        <is>
          <t>Website</t>
        </is>
      </c>
      <c r="B12" s="148" t="inlineStr"/>
      <c r="C12" s="59" t="n"/>
      <c r="D12" s="60" t="n"/>
      <c r="E12" s="29" t="inlineStr"/>
      <c r="F12" s="60" t="n"/>
    </row>
    <row r="14">
      <c r="A14" s="2" t="inlineStr">
        <is>
          <t>B. TAX IDENTIFICATION</t>
        </is>
      </c>
    </row>
    <row r="15">
      <c r="A15" s="182" t="inlineStr">
        <is>
          <t>PAN</t>
        </is>
      </c>
      <c r="B15" s="148" t="inlineStr"/>
      <c r="C15" s="59" t="n"/>
      <c r="D15" s="60" t="n"/>
      <c r="E15" s="29" t="inlineStr"/>
      <c r="F15" s="60" t="n"/>
    </row>
    <row r="16">
      <c r="A16" s="182" t="inlineStr">
        <is>
          <t>GSTIN (Primary)</t>
        </is>
      </c>
      <c r="B16" s="148" t="inlineStr"/>
      <c r="C16" s="59" t="n"/>
      <c r="D16" s="60" t="n"/>
      <c r="E16" s="29" t="inlineStr"/>
      <c r="F16" s="60" t="n"/>
    </row>
    <row r="17">
      <c r="A17" s="182" t="inlineStr">
        <is>
          <t>Additional GSTINs</t>
        </is>
      </c>
      <c r="B17" s="148" t="inlineStr"/>
      <c r="C17" s="59" t="n"/>
      <c r="D17" s="60" t="n"/>
      <c r="E17" s="29" t="inlineStr"/>
      <c r="F17" s="60" t="n"/>
    </row>
    <row r="18">
      <c r="A18" s="182" t="inlineStr">
        <is>
          <t>TAN</t>
        </is>
      </c>
      <c r="B18" s="148" t="inlineStr"/>
      <c r="C18" s="59" t="n"/>
      <c r="D18" s="60" t="n"/>
      <c r="E18" s="29" t="inlineStr"/>
      <c r="F18" s="60" t="n"/>
    </row>
    <row r="19">
      <c r="A19" s="182" t="inlineStr">
        <is>
          <t>IT Ward / Circle</t>
        </is>
      </c>
      <c r="B19" s="148" t="inlineStr"/>
      <c r="C19" s="59" t="n"/>
      <c r="D19" s="60" t="n"/>
      <c r="E19" s="29" t="inlineStr"/>
      <c r="F19" s="60" t="n"/>
    </row>
    <row r="20">
      <c r="A20" s="182" t="inlineStr">
        <is>
          <t>IT AO Code</t>
        </is>
      </c>
      <c r="B20" s="148" t="inlineStr"/>
      <c r="C20" s="59" t="n"/>
      <c r="D20" s="60" t="n"/>
      <c r="E20" s="29" t="inlineStr"/>
      <c r="F20" s="60" t="n"/>
    </row>
    <row r="21">
      <c r="A21" s="182" t="inlineStr">
        <is>
          <t>Income Tax Return Form</t>
        </is>
      </c>
      <c r="B21" s="148" t="inlineStr"/>
      <c r="C21" s="59" t="n"/>
      <c r="D21" s="60" t="n"/>
      <c r="E21" s="29" t="inlineStr">
        <is>
          <t>ITR-6 / ITR-5 / ITR-4</t>
        </is>
      </c>
      <c r="F21" s="60" t="n"/>
    </row>
    <row r="22">
      <c r="A22" s="182" t="inlineStr">
        <is>
          <t>Due Date of ROI Filing</t>
        </is>
      </c>
      <c r="B22" s="148" t="inlineStr"/>
      <c r="C22" s="59" t="n"/>
      <c r="D22" s="60" t="n"/>
      <c r="E22" s="29" t="inlineStr">
        <is>
          <t>31-Oct-2026 (Tax Audit case)</t>
        </is>
      </c>
      <c r="F22" s="60" t="n"/>
    </row>
    <row r="23">
      <c r="A23" s="182" t="inlineStr">
        <is>
          <t>Previous Year Turnover (FY 24-25)</t>
        </is>
      </c>
      <c r="B23" s="148" t="inlineStr"/>
      <c r="C23" s="59" t="n"/>
      <c r="D23" s="60" t="n"/>
      <c r="E23" s="29" t="inlineStr"/>
      <c r="F23" s="60" t="n"/>
    </row>
    <row r="24">
      <c r="A24" s="182" t="inlineStr">
        <is>
          <t>Current Year Turnover (FY 25-26)</t>
        </is>
      </c>
      <c r="B24" s="148" t="inlineStr"/>
      <c r="C24" s="59" t="n"/>
      <c r="D24" s="60" t="n"/>
      <c r="E24" s="29" t="inlineStr"/>
      <c r="F24" s="60" t="n"/>
    </row>
    <row r="25">
      <c r="A25" s="182" t="inlineStr">
        <is>
          <t>Tax Audit Applicability</t>
        </is>
      </c>
      <c r="B25" s="148" t="inlineStr"/>
      <c r="C25" s="59" t="n"/>
      <c r="D25" s="60" t="n"/>
      <c r="E25" s="29" t="inlineStr">
        <is>
          <t>Yes / No</t>
        </is>
      </c>
      <c r="F25" s="60" t="n"/>
    </row>
    <row r="26">
      <c r="A26" s="182" t="inlineStr">
        <is>
          <t>Section under which Tax Audit applies</t>
        </is>
      </c>
      <c r="B26" s="148" t="inlineStr"/>
      <c r="C26" s="59" t="n"/>
      <c r="D26" s="60" t="n"/>
      <c r="E26" s="29" t="inlineStr">
        <is>
          <t>44AB(a) / 44AB(b) / 44AB(d) / 44ADA</t>
        </is>
      </c>
      <c r="F26" s="60" t="n"/>
    </row>
    <row r="28">
      <c r="A28" s="2" t="inlineStr">
        <is>
          <t>C. STATUTORY AUDIT DETAILS</t>
        </is>
      </c>
    </row>
    <row r="29">
      <c r="A29" s="182" t="inlineStr">
        <is>
          <t>Auditor Firm Name</t>
        </is>
      </c>
      <c r="B29" s="148" t="inlineStr"/>
      <c r="C29" s="59" t="n"/>
      <c r="D29" s="60" t="n"/>
      <c r="E29" s="29" t="inlineStr">
        <is>
          <t>Pratap B Sheth &amp; Co.</t>
        </is>
      </c>
      <c r="F29" s="60" t="n"/>
    </row>
    <row r="30">
      <c r="A30" s="182" t="inlineStr">
        <is>
          <t>Firm Registration No. (ICAI)</t>
        </is>
      </c>
      <c r="B30" s="148" t="inlineStr"/>
      <c r="C30" s="59" t="n"/>
      <c r="D30" s="60" t="n"/>
      <c r="E30" s="29" t="inlineStr"/>
      <c r="F30" s="60" t="n"/>
    </row>
    <row r="31">
      <c r="A31" s="182" t="inlineStr">
        <is>
          <t>Partner / Proprietor Name</t>
        </is>
      </c>
      <c r="B31" s="148" t="inlineStr"/>
      <c r="C31" s="59" t="n"/>
      <c r="D31" s="60" t="n"/>
      <c r="E31" s="29" t="inlineStr">
        <is>
          <t>Pratap B Sheth</t>
        </is>
      </c>
      <c r="F31" s="60" t="n"/>
    </row>
    <row r="32">
      <c r="A32" s="182" t="inlineStr">
        <is>
          <t>Membership No. (ICAI)</t>
        </is>
      </c>
      <c r="B32" s="148" t="inlineStr"/>
      <c r="C32" s="59" t="n"/>
      <c r="D32" s="60" t="n"/>
      <c r="E32" s="29" t="inlineStr"/>
      <c r="F32" s="60" t="n"/>
    </row>
    <row r="33">
      <c r="A33" s="182" t="inlineStr">
        <is>
          <t>Date of Appointment as Auditor</t>
        </is>
      </c>
      <c r="B33" s="148" t="inlineStr"/>
      <c r="C33" s="59" t="n"/>
      <c r="D33" s="60" t="n"/>
      <c r="E33" s="29" t="inlineStr"/>
      <c r="F33" s="60" t="n"/>
    </row>
    <row r="34">
      <c r="A34" s="182" t="inlineStr">
        <is>
          <t>Date of AGM for Appointment</t>
        </is>
      </c>
      <c r="B34" s="148" t="inlineStr"/>
      <c r="C34" s="59" t="n"/>
      <c r="D34" s="60" t="n"/>
      <c r="E34" s="29" t="inlineStr"/>
      <c r="F34" s="60" t="n"/>
    </row>
    <row r="35">
      <c r="A35" s="182" t="inlineStr">
        <is>
          <t>Auditor Tenure (Current Year No.)</t>
        </is>
      </c>
      <c r="B35" s="148" t="inlineStr"/>
      <c r="C35" s="59" t="n"/>
      <c r="D35" s="60" t="n"/>
      <c r="E35" s="29" t="inlineStr"/>
      <c r="F35" s="60" t="n"/>
    </row>
    <row r="36">
      <c r="A36" s="182" t="inlineStr">
        <is>
          <t>Previous Auditor (if change)</t>
        </is>
      </c>
      <c r="B36" s="148" t="inlineStr"/>
      <c r="C36" s="59" t="n"/>
      <c r="D36" s="60" t="n"/>
      <c r="E36" s="29" t="inlineStr"/>
      <c r="F36" s="60" t="n"/>
    </row>
    <row r="37">
      <c r="A37" s="182" t="inlineStr">
        <is>
          <t>Reason for Change of Auditor</t>
        </is>
      </c>
      <c r="B37" s="148" t="inlineStr"/>
      <c r="C37" s="59" t="n"/>
      <c r="D37" s="60" t="n"/>
      <c r="E37" s="29" t="inlineStr"/>
      <c r="F37" s="60" t="n"/>
    </row>
    <row r="38">
      <c r="A38" s="182" t="inlineStr">
        <is>
          <t>Type of Audit Report</t>
        </is>
      </c>
      <c r="B38" s="148" t="inlineStr"/>
      <c r="C38" s="59" t="n"/>
      <c r="D38" s="60" t="n"/>
      <c r="E38" s="29" t="inlineStr">
        <is>
          <t>Unmodified / Modified / Adverse / Disclaimer</t>
        </is>
      </c>
      <c r="F38" s="60" t="n"/>
    </row>
    <row r="39">
      <c r="A39" s="182" t="inlineStr">
        <is>
          <t>CARO 2020 Applicable?</t>
        </is>
      </c>
      <c r="B39" s="148" t="inlineStr"/>
      <c r="C39" s="59" t="n"/>
      <c r="D39" s="60" t="n"/>
      <c r="E39" s="29" t="inlineStr">
        <is>
          <t>Yes / No</t>
        </is>
      </c>
      <c r="F39" s="60" t="n"/>
    </row>
    <row r="40">
      <c r="A40" s="182" t="inlineStr">
        <is>
          <t>IFC Reporting Required?</t>
        </is>
      </c>
      <c r="B40" s="148" t="inlineStr"/>
      <c r="C40" s="59" t="n"/>
      <c r="D40" s="60" t="n"/>
      <c r="E40" s="29" t="inlineStr">
        <is>
          <t>Yes / No</t>
        </is>
      </c>
      <c r="F40" s="60" t="n"/>
    </row>
    <row r="41">
      <c r="A41" s="182" t="inlineStr">
        <is>
          <t>Consolidated FS Required?</t>
        </is>
      </c>
      <c r="B41" s="148" t="inlineStr"/>
      <c r="C41" s="59" t="n"/>
      <c r="D41" s="60" t="n"/>
      <c r="E41" s="29" t="inlineStr">
        <is>
          <t>Yes / No</t>
        </is>
      </c>
      <c r="F41" s="60" t="n"/>
    </row>
    <row r="43">
      <c r="A43" s="2" t="inlineStr">
        <is>
          <t>D. ACCOUNTING INFORMATION</t>
        </is>
      </c>
    </row>
    <row r="44">
      <c r="A44" s="182" t="inlineStr">
        <is>
          <t>Accounting Software Used</t>
        </is>
      </c>
      <c r="B44" s="148" t="inlineStr"/>
      <c r="C44" s="59" t="n"/>
      <c r="D44" s="60" t="n"/>
      <c r="E44" s="29" t="inlineStr">
        <is>
          <t>Tally / SAP / Zoho / Other</t>
        </is>
      </c>
      <c r="F44" s="60" t="n"/>
    </row>
    <row r="45">
      <c r="A45" s="182" t="inlineStr">
        <is>
          <t>Method of Accounting</t>
        </is>
      </c>
      <c r="B45" s="148" t="inlineStr"/>
      <c r="C45" s="59" t="n"/>
      <c r="D45" s="60" t="n"/>
      <c r="E45" s="29" t="inlineStr">
        <is>
          <t>Mercantile / Cash</t>
        </is>
      </c>
      <c r="F45" s="60" t="n"/>
    </row>
    <row r="46">
      <c r="A46" s="182" t="inlineStr">
        <is>
          <t>Accounting Standards Applied</t>
        </is>
      </c>
      <c r="B46" s="148" t="inlineStr"/>
      <c r="C46" s="59" t="n"/>
      <c r="D46" s="60" t="n"/>
      <c r="E46" s="29" t="inlineStr">
        <is>
          <t>Ind AS / AS (ICAI)</t>
        </is>
      </c>
      <c r="F46" s="60" t="n"/>
    </row>
    <row r="47">
      <c r="A47" s="182" t="inlineStr">
        <is>
          <t>Ind AS Applicable from</t>
        </is>
      </c>
      <c r="B47" s="148" t="inlineStr"/>
      <c r="C47" s="59" t="n"/>
      <c r="D47" s="60" t="n"/>
      <c r="E47" s="29" t="inlineStr"/>
      <c r="F47" s="60" t="n"/>
    </row>
    <row r="48">
      <c r="A48" s="182" t="inlineStr">
        <is>
          <t>Depreciation Method</t>
        </is>
      </c>
      <c r="B48" s="148" t="inlineStr"/>
      <c r="C48" s="59" t="n"/>
      <c r="D48" s="60" t="n"/>
      <c r="E48" s="29" t="inlineStr">
        <is>
          <t>WDV / SLM</t>
        </is>
      </c>
      <c r="F48" s="60" t="n"/>
    </row>
    <row r="49">
      <c r="A49" s="182" t="inlineStr">
        <is>
          <t>Inventory Valuation Method</t>
        </is>
      </c>
      <c r="B49" s="148" t="inlineStr"/>
      <c r="C49" s="59" t="n"/>
      <c r="D49" s="60" t="n"/>
      <c r="E49" s="29" t="inlineStr">
        <is>
          <t>FIFO / Weighted Average / LIFO</t>
        </is>
      </c>
      <c r="F49" s="60" t="n"/>
    </row>
    <row r="50">
      <c r="A50" s="182" t="inlineStr">
        <is>
          <t>Financial Year End</t>
        </is>
      </c>
      <c r="B50" s="148" t="inlineStr"/>
      <c r="C50" s="59" t="n"/>
      <c r="D50" s="60" t="n"/>
      <c r="E50" s="29" t="inlineStr">
        <is>
          <t>31-Mar-2026</t>
        </is>
      </c>
      <c r="F50" s="60" t="n"/>
    </row>
    <row r="51">
      <c r="A51" s="182" t="inlineStr">
        <is>
          <t>Functional Currency</t>
        </is>
      </c>
      <c r="B51" s="148" t="inlineStr"/>
      <c r="C51" s="59" t="n"/>
      <c r="D51" s="60" t="n"/>
      <c r="E51" s="29" t="inlineStr">
        <is>
          <t>INR</t>
        </is>
      </c>
      <c r="F51" s="60" t="n"/>
    </row>
    <row r="52">
      <c r="A52" s="182" t="inlineStr">
        <is>
          <t>Books of Accounts Location</t>
        </is>
      </c>
      <c r="B52" s="148" t="inlineStr"/>
      <c r="C52" s="59" t="n"/>
      <c r="D52" s="60" t="n"/>
      <c r="E52" s="29" t="inlineStr"/>
      <c r="F52" s="60" t="n"/>
    </row>
    <row r="54">
      <c r="A54" s="2" t="inlineStr">
        <is>
          <t>E. BANKING &amp; LOANS</t>
        </is>
      </c>
    </row>
    <row r="55">
      <c r="A55" s="182" t="inlineStr">
        <is>
          <t>Number of Bank Accounts</t>
        </is>
      </c>
      <c r="B55" s="148" t="inlineStr"/>
      <c r="C55" s="59" t="n"/>
      <c r="D55" s="60" t="n"/>
      <c r="E55" s="29" t="inlineStr"/>
      <c r="F55" s="60" t="n"/>
    </row>
    <row r="56">
      <c r="A56" s="182" t="inlineStr">
        <is>
          <t>Primary Bank &amp; Account No.</t>
        </is>
      </c>
      <c r="B56" s="148" t="inlineStr"/>
      <c r="C56" s="59" t="n"/>
      <c r="D56" s="60" t="n"/>
      <c r="E56" s="29" t="inlineStr"/>
      <c r="F56" s="60" t="n"/>
    </row>
    <row r="57">
      <c r="A57" s="182" t="inlineStr">
        <is>
          <t>CC / OD Limit (if any)</t>
        </is>
      </c>
      <c r="B57" s="148" t="inlineStr"/>
      <c r="C57" s="59" t="n"/>
      <c r="D57" s="60" t="n"/>
      <c r="E57" s="29" t="inlineStr"/>
      <c r="F57" s="60" t="n"/>
    </row>
    <row r="58">
      <c r="A58" s="182" t="inlineStr">
        <is>
          <t>Outstanding Loans — Banks</t>
        </is>
      </c>
      <c r="B58" s="148" t="inlineStr"/>
      <c r="C58" s="59" t="n"/>
      <c r="D58" s="60" t="n"/>
      <c r="E58" s="29" t="inlineStr"/>
      <c r="F58" s="60" t="n"/>
    </row>
    <row r="59">
      <c r="A59" s="182" t="inlineStr">
        <is>
          <t>Outstanding Loans — NBFCs</t>
        </is>
      </c>
      <c r="B59" s="148" t="inlineStr"/>
      <c r="C59" s="59" t="n"/>
      <c r="D59" s="60" t="n"/>
      <c r="E59" s="29" t="inlineStr"/>
      <c r="F59" s="60" t="n"/>
    </row>
    <row r="60">
      <c r="A60" s="182" t="inlineStr">
        <is>
          <t>Outstanding Loans — Directors/Related Parties</t>
        </is>
      </c>
      <c r="B60" s="148" t="inlineStr"/>
      <c r="C60" s="59" t="n"/>
      <c r="D60" s="60" t="n"/>
      <c r="E60" s="29" t="inlineStr"/>
      <c r="F60" s="60" t="n"/>
    </row>
    <row r="61">
      <c r="A61" s="182" t="inlineStr">
        <is>
          <t>Deposits accepted from Public?</t>
        </is>
      </c>
      <c r="B61" s="148" t="inlineStr"/>
      <c r="C61" s="59" t="n"/>
      <c r="D61" s="60" t="n"/>
      <c r="E61" s="29" t="inlineStr">
        <is>
          <t>Yes / No</t>
        </is>
      </c>
      <c r="F61" s="60" t="n"/>
    </row>
    <row r="63">
      <c r="A63" s="2" t="inlineStr">
        <is>
          <t>F. KEY PERSONNEL &amp; CONTACTS</t>
        </is>
      </c>
    </row>
    <row r="64">
      <c r="A64" s="182" t="inlineStr">
        <is>
          <t>Managing Director / CEO</t>
        </is>
      </c>
      <c r="B64" s="148" t="inlineStr"/>
      <c r="C64" s="59" t="n"/>
      <c r="D64" s="60" t="n"/>
      <c r="E64" s="29" t="inlineStr"/>
      <c r="F64" s="60" t="n"/>
    </row>
    <row r="65">
      <c r="A65" s="182" t="inlineStr">
        <is>
          <t>CFO / Finance Head</t>
        </is>
      </c>
      <c r="B65" s="148" t="inlineStr"/>
      <c r="C65" s="59" t="n"/>
      <c r="D65" s="60" t="n"/>
      <c r="E65" s="29" t="inlineStr"/>
      <c r="F65" s="60" t="n"/>
    </row>
    <row r="66">
      <c r="A66" s="182" t="inlineStr">
        <is>
          <t>Company Secretary</t>
        </is>
      </c>
      <c r="B66" s="148" t="inlineStr"/>
      <c r="C66" s="59" t="n"/>
      <c r="D66" s="60" t="n"/>
      <c r="E66" s="29" t="inlineStr"/>
      <c r="F66" s="60" t="n"/>
    </row>
    <row r="67">
      <c r="A67" s="182" t="inlineStr">
        <is>
          <t>Internal Auditor Firm</t>
        </is>
      </c>
      <c r="B67" s="148" t="inlineStr"/>
      <c r="C67" s="59" t="n"/>
      <c r="D67" s="60" t="n"/>
      <c r="E67" s="29" t="inlineStr"/>
      <c r="F67" s="60" t="n"/>
    </row>
    <row r="68">
      <c r="A68" s="182" t="inlineStr">
        <is>
          <t>Tax Consultant / CA</t>
        </is>
      </c>
      <c r="B68" s="148" t="inlineStr"/>
      <c r="C68" s="59" t="n"/>
      <c r="D68" s="60" t="n"/>
      <c r="E68" s="29" t="inlineStr"/>
      <c r="F68" s="60" t="n"/>
    </row>
    <row r="69">
      <c r="A69" s="182" t="inlineStr">
        <is>
          <t>Primary Contact for Audit</t>
        </is>
      </c>
      <c r="B69" s="148" t="inlineStr"/>
      <c r="C69" s="59" t="n"/>
      <c r="D69" s="60" t="n"/>
      <c r="E69" s="29" t="inlineStr"/>
      <c r="F69" s="60" t="n"/>
    </row>
    <row r="70">
      <c r="A70" s="182" t="inlineStr">
        <is>
          <t>Email</t>
        </is>
      </c>
      <c r="B70" s="148" t="inlineStr"/>
      <c r="C70" s="59" t="n"/>
      <c r="D70" s="60" t="n"/>
      <c r="E70" s="29" t="inlineStr"/>
      <c r="F70" s="60" t="n"/>
    </row>
    <row r="71">
      <c r="A71" s="182" t="inlineStr">
        <is>
          <t>Phone</t>
        </is>
      </c>
      <c r="B71" s="148" t="inlineStr"/>
      <c r="C71" s="59" t="n"/>
      <c r="D71" s="60" t="n"/>
      <c r="E71" s="29" t="inlineStr"/>
      <c r="F71" s="60" t="n"/>
    </row>
  </sheetData>
  <mergeCells count="123">
    <mergeCell ref="B11:D11"/>
    <mergeCell ref="B60:D60"/>
    <mergeCell ref="B57:D57"/>
    <mergeCell ref="E71:F71"/>
    <mergeCell ref="E23:F23"/>
    <mergeCell ref="B44:D44"/>
    <mergeCell ref="A3:F3"/>
    <mergeCell ref="E8:F8"/>
    <mergeCell ref="E64:F64"/>
    <mergeCell ref="B34:D34"/>
    <mergeCell ref="E51:F51"/>
    <mergeCell ref="B37:D37"/>
    <mergeCell ref="B30:D30"/>
    <mergeCell ref="B6:D6"/>
    <mergeCell ref="E65:F65"/>
    <mergeCell ref="B20:D20"/>
    <mergeCell ref="E34:F34"/>
    <mergeCell ref="B4:D4"/>
    <mergeCell ref="E49:F49"/>
    <mergeCell ref="E36:F36"/>
    <mergeCell ref="B56:D56"/>
    <mergeCell ref="E22:F22"/>
    <mergeCell ref="B70:D70"/>
    <mergeCell ref="E12:F12"/>
    <mergeCell ref="E55:F55"/>
    <mergeCell ref="B8:D8"/>
    <mergeCell ref="E67:F67"/>
    <mergeCell ref="B17:D17"/>
    <mergeCell ref="E5:F5"/>
    <mergeCell ref="E48:F48"/>
    <mergeCell ref="B10:D10"/>
    <mergeCell ref="E4:F4"/>
    <mergeCell ref="B19:D19"/>
    <mergeCell ref="E38:F38"/>
    <mergeCell ref="B9:D9"/>
    <mergeCell ref="B68:D68"/>
    <mergeCell ref="E40:F40"/>
    <mergeCell ref="B5:D5"/>
    <mergeCell ref="A28:F28"/>
    <mergeCell ref="B36:D36"/>
    <mergeCell ref="B45:D45"/>
    <mergeCell ref="E26:F26"/>
    <mergeCell ref="B47:D47"/>
    <mergeCell ref="B59:D59"/>
    <mergeCell ref="E16:F16"/>
    <mergeCell ref="B31:D31"/>
    <mergeCell ref="B46:D46"/>
    <mergeCell ref="E25:F25"/>
    <mergeCell ref="B21:D21"/>
    <mergeCell ref="E66:F66"/>
    <mergeCell ref="B39:D39"/>
    <mergeCell ref="E18:F18"/>
    <mergeCell ref="E58:F58"/>
    <mergeCell ref="B48:D48"/>
    <mergeCell ref="E50:F50"/>
    <mergeCell ref="A54:F54"/>
    <mergeCell ref="B23:D23"/>
    <mergeCell ref="E68:F68"/>
    <mergeCell ref="E52:F52"/>
    <mergeCell ref="E39:F39"/>
    <mergeCell ref="E44:F44"/>
    <mergeCell ref="E20:F20"/>
    <mergeCell ref="E29:F29"/>
    <mergeCell ref="B49:D49"/>
    <mergeCell ref="B65:D65"/>
    <mergeCell ref="E69:F69"/>
    <mergeCell ref="E31:F31"/>
    <mergeCell ref="B51:D51"/>
    <mergeCell ref="E59:F59"/>
    <mergeCell ref="A63:F63"/>
    <mergeCell ref="E6:F6"/>
    <mergeCell ref="E15:F15"/>
    <mergeCell ref="E46:F46"/>
    <mergeCell ref="B41:D41"/>
    <mergeCell ref="B35:D35"/>
    <mergeCell ref="B50:D50"/>
    <mergeCell ref="E61:F61"/>
    <mergeCell ref="B25:D25"/>
    <mergeCell ref="E70:F70"/>
    <mergeCell ref="E57:F57"/>
    <mergeCell ref="B66:D66"/>
    <mergeCell ref="E32:F32"/>
    <mergeCell ref="E7:F7"/>
    <mergeCell ref="B22:D22"/>
    <mergeCell ref="A1:F1"/>
    <mergeCell ref="E41:F41"/>
    <mergeCell ref="B12:D12"/>
    <mergeCell ref="E56:F56"/>
    <mergeCell ref="B67:D67"/>
    <mergeCell ref="E24:F24"/>
    <mergeCell ref="B61:D61"/>
    <mergeCell ref="E33:F33"/>
    <mergeCell ref="B29:D29"/>
    <mergeCell ref="E17:F17"/>
    <mergeCell ref="B69:D69"/>
    <mergeCell ref="B38:D38"/>
    <mergeCell ref="E35:F35"/>
    <mergeCell ref="E10:F10"/>
    <mergeCell ref="A14:F14"/>
    <mergeCell ref="E19:F19"/>
    <mergeCell ref="B40:D40"/>
    <mergeCell ref="B15:D15"/>
    <mergeCell ref="E60:F60"/>
    <mergeCell ref="E9:F9"/>
    <mergeCell ref="B55:D55"/>
    <mergeCell ref="B24:D24"/>
    <mergeCell ref="B64:D64"/>
    <mergeCell ref="A43:F43"/>
    <mergeCell ref="B33:D33"/>
    <mergeCell ref="E30:F30"/>
    <mergeCell ref="B32:D32"/>
    <mergeCell ref="E11:F11"/>
    <mergeCell ref="B26:D26"/>
    <mergeCell ref="E45:F45"/>
    <mergeCell ref="B7:D7"/>
    <mergeCell ref="B16:D16"/>
    <mergeCell ref="B71:D71"/>
    <mergeCell ref="B18:D18"/>
    <mergeCell ref="E37:F37"/>
    <mergeCell ref="B58:D58"/>
    <mergeCell ref="B52:D52"/>
    <mergeCell ref="E47:F47"/>
    <mergeCell ref="E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55" customWidth="1" min="3" max="3"/>
    <col width="14" customWidth="1" min="4" max="4"/>
    <col width="10" customWidth="1" min="5" max="5"/>
    <col width="11" customWidth="1" min="6" max="6"/>
    <col width="13" customWidth="1" min="7" max="7"/>
    <col width="8" customWidth="1" min="8" max="8"/>
    <col width="30" customWidth="1" min="9" max="9"/>
  </cols>
  <sheetData>
    <row r="1">
      <c r="A1" s="30" t="inlineStr">
        <is>
          <t>STATUTORY AUDIT CHECKLIST — COMPANIES ACT 2013  |  FY 2025-26</t>
        </is>
      </c>
    </row>
    <row r="2">
      <c r="A2" s="31" t="inlineStr">
        <is>
          <t>Status Options: Done ✅ | In Progress 🔄 | Pending ⏳ | N/A ➖ | Refer to Partner ⚠️</t>
        </is>
      </c>
    </row>
    <row r="4">
      <c r="A4" s="22" t="inlineStr">
        <is>
          <t>Sr.</t>
        </is>
      </c>
      <c r="B4" s="22" t="inlineStr">
        <is>
          <t>Area / Section</t>
        </is>
      </c>
      <c r="C4" s="22" t="inlineStr">
        <is>
          <t>Audit Procedure / Check Point</t>
        </is>
      </c>
      <c r="D4" s="22" t="inlineStr">
        <is>
          <t>Reference / WP No.</t>
        </is>
      </c>
      <c r="E4" s="22" t="inlineStr">
        <is>
          <t>Done By</t>
        </is>
      </c>
      <c r="F4" s="22" t="inlineStr">
        <is>
          <t>Date</t>
        </is>
      </c>
      <c r="G4" s="22" t="inlineStr">
        <is>
          <t>Status</t>
        </is>
      </c>
      <c r="H4" s="22" t="inlineStr">
        <is>
          <t>Risk</t>
        </is>
      </c>
      <c r="I4" s="22" t="inlineStr">
        <is>
          <t>Remarks / Findings</t>
        </is>
      </c>
    </row>
    <row r="5">
      <c r="A5" s="31" t="inlineStr">
        <is>
          <t>A. PRE-AUDIT PLANNING</t>
        </is>
      </c>
    </row>
    <row r="6" ht="30" customHeight="1">
      <c r="A6" s="156" t="n">
        <v>1</v>
      </c>
      <c r="B6" s="33" t="inlineStr">
        <is>
          <t>PRE-AUDIT PLANNING</t>
        </is>
      </c>
      <c r="C6" s="34" t="inlineStr">
        <is>
          <t>Obtain and review prior year audit file, management letter and financial statements</t>
        </is>
      </c>
      <c r="D6" s="165" t="inlineStr"/>
      <c r="E6" s="165" t="inlineStr"/>
      <c r="F6" s="165" t="inlineStr"/>
      <c r="G6" s="153" t="inlineStr">
        <is>
          <t>Pending ⏳</t>
        </is>
      </c>
      <c r="H6" s="160" t="inlineStr">
        <is>
          <t>Medium</t>
        </is>
      </c>
      <c r="I6" s="34" t="inlineStr"/>
    </row>
    <row r="7" ht="30" customHeight="1">
      <c r="A7" s="156" t="n">
        <v>2</v>
      </c>
      <c r="B7" s="33" t="inlineStr">
        <is>
          <t>PRE-AUDIT PLANNING</t>
        </is>
      </c>
      <c r="C7" s="34" t="inlineStr">
        <is>
          <t>Prepare / update audit engagement letter — signed by management</t>
        </is>
      </c>
      <c r="D7" s="165" t="inlineStr"/>
      <c r="E7" s="165" t="inlineStr"/>
      <c r="F7" s="165" t="inlineStr"/>
      <c r="G7" s="153" t="inlineStr">
        <is>
          <t>Pending ⏳</t>
        </is>
      </c>
      <c r="H7" s="160" t="inlineStr">
        <is>
          <t>Medium</t>
        </is>
      </c>
      <c r="I7" s="34" t="inlineStr"/>
    </row>
    <row r="8" ht="30" customHeight="1">
      <c r="A8" s="156" t="n">
        <v>3</v>
      </c>
      <c r="B8" s="33" t="inlineStr">
        <is>
          <t>PRE-AUDIT PLANNING</t>
        </is>
      </c>
      <c r="C8" s="34" t="inlineStr">
        <is>
          <t>Prepare audit planning memorandum (APM) including risk assessment</t>
        </is>
      </c>
      <c r="D8" s="165" t="inlineStr"/>
      <c r="E8" s="165" t="inlineStr"/>
      <c r="F8" s="165" t="inlineStr"/>
      <c r="G8" s="153" t="inlineStr">
        <is>
          <t>Pending ⏳</t>
        </is>
      </c>
      <c r="H8" s="160" t="inlineStr">
        <is>
          <t>Medium</t>
        </is>
      </c>
      <c r="I8" s="34" t="inlineStr"/>
    </row>
    <row r="9" ht="30" customHeight="1">
      <c r="A9" s="156" t="n">
        <v>4</v>
      </c>
      <c r="B9" s="33" t="inlineStr">
        <is>
          <t>PRE-AUDIT PLANNING</t>
        </is>
      </c>
      <c r="C9" s="34" t="inlineStr">
        <is>
          <t>Prepare time budget and team allocation</t>
        </is>
      </c>
      <c r="D9" s="165" t="inlineStr"/>
      <c r="E9" s="165" t="inlineStr"/>
      <c r="F9" s="165" t="inlineStr"/>
      <c r="G9" s="153" t="inlineStr">
        <is>
          <t>Pending ⏳</t>
        </is>
      </c>
      <c r="H9" s="160" t="inlineStr">
        <is>
          <t>Medium</t>
        </is>
      </c>
      <c r="I9" s="34" t="inlineStr"/>
    </row>
    <row r="10" ht="30" customHeight="1">
      <c r="A10" s="156" t="n">
        <v>5</v>
      </c>
      <c r="B10" s="33" t="inlineStr">
        <is>
          <t>PRE-AUDIT PLANNING</t>
        </is>
      </c>
      <c r="C10" s="34" t="inlineStr">
        <is>
          <t>Review minutes of Board meetings, AGM, EGM for the year</t>
        </is>
      </c>
      <c r="D10" s="165" t="inlineStr"/>
      <c r="E10" s="165" t="inlineStr"/>
      <c r="F10" s="165" t="inlineStr"/>
      <c r="G10" s="153" t="inlineStr">
        <is>
          <t>Pending ⏳</t>
        </is>
      </c>
      <c r="H10" s="160" t="inlineStr">
        <is>
          <t>Medium</t>
        </is>
      </c>
      <c r="I10" s="34" t="inlineStr"/>
    </row>
    <row r="11" ht="30" customHeight="1">
      <c r="A11" s="156" t="n">
        <v>6</v>
      </c>
      <c r="B11" s="33" t="inlineStr">
        <is>
          <t>PRE-AUDIT PLANNING</t>
        </is>
      </c>
      <c r="C11" s="34" t="inlineStr">
        <is>
          <t>Review all statutory registers: Members, Directors, Charges, Debentures, Loans</t>
        </is>
      </c>
      <c r="D11" s="165" t="inlineStr"/>
      <c r="E11" s="165" t="inlineStr"/>
      <c r="F11" s="165" t="inlineStr"/>
      <c r="G11" s="153" t="inlineStr">
        <is>
          <t>Pending ⏳</t>
        </is>
      </c>
      <c r="H11" s="160" t="inlineStr">
        <is>
          <t>Medium</t>
        </is>
      </c>
      <c r="I11" s="34" t="inlineStr"/>
    </row>
    <row r="12" ht="30" customHeight="1">
      <c r="A12" s="156" t="n">
        <v>7</v>
      </c>
      <c r="B12" s="33" t="inlineStr">
        <is>
          <t>PRE-AUDIT PLANNING</t>
        </is>
      </c>
      <c r="C12" s="34" t="inlineStr">
        <is>
          <t>Confirm auditor appointment compliance — Sec 139, 140, 141</t>
        </is>
      </c>
      <c r="D12" s="165" t="inlineStr"/>
      <c r="E12" s="165" t="inlineStr"/>
      <c r="F12" s="165" t="inlineStr"/>
      <c r="G12" s="153" t="inlineStr">
        <is>
          <t>Pending ⏳</t>
        </is>
      </c>
      <c r="H12" s="160" t="inlineStr">
        <is>
          <t>Medium</t>
        </is>
      </c>
      <c r="I12" s="34" t="inlineStr"/>
    </row>
    <row r="13" ht="30" customHeight="1">
      <c r="A13" s="156" t="n">
        <v>8</v>
      </c>
      <c r="B13" s="33" t="inlineStr">
        <is>
          <t>PRE-AUDIT PLANNING</t>
        </is>
      </c>
      <c r="C13" s="34" t="inlineStr">
        <is>
          <t>Check auditor independence &amp; compliance with Sec 141(3)</t>
        </is>
      </c>
      <c r="D13" s="165" t="inlineStr"/>
      <c r="E13" s="165" t="inlineStr"/>
      <c r="F13" s="165" t="inlineStr"/>
      <c r="G13" s="153" t="inlineStr">
        <is>
          <t>Pending ⏳</t>
        </is>
      </c>
      <c r="H13" s="160" t="inlineStr">
        <is>
          <t>Medium</t>
        </is>
      </c>
      <c r="I13" s="34" t="inlineStr"/>
    </row>
    <row r="14" ht="30" customHeight="1">
      <c r="A14" s="156" t="n">
        <v>9</v>
      </c>
      <c r="B14" s="33" t="inlineStr">
        <is>
          <t>PRE-AUDIT PLANNING</t>
        </is>
      </c>
      <c r="C14" s="34" t="inlineStr">
        <is>
          <t>Verify management representations letter obtained</t>
        </is>
      </c>
      <c r="D14" s="165" t="inlineStr"/>
      <c r="E14" s="165" t="inlineStr"/>
      <c r="F14" s="165" t="inlineStr"/>
      <c r="G14" s="153" t="inlineStr">
        <is>
          <t>Pending ⏳</t>
        </is>
      </c>
      <c r="H14" s="160" t="inlineStr">
        <is>
          <t>Medium</t>
        </is>
      </c>
      <c r="I14" s="34" t="inlineStr"/>
    </row>
    <row r="15" ht="30" customHeight="1">
      <c r="A15" s="156" t="n">
        <v>10</v>
      </c>
      <c r="B15" s="33" t="inlineStr">
        <is>
          <t>PRE-AUDIT PLANNING</t>
        </is>
      </c>
      <c r="C15" s="34" t="inlineStr">
        <is>
          <t>Review engagement quality control (EQC) sign-off if applicable</t>
        </is>
      </c>
      <c r="D15" s="165" t="inlineStr"/>
      <c r="E15" s="165" t="inlineStr"/>
      <c r="F15" s="165" t="inlineStr"/>
      <c r="G15" s="153" t="inlineStr">
        <is>
          <t>Pending ⏳</t>
        </is>
      </c>
      <c r="H15" s="160" t="inlineStr">
        <is>
          <t>Medium</t>
        </is>
      </c>
      <c r="I15" s="34" t="inlineStr"/>
    </row>
    <row r="16" ht="30" customHeight="1">
      <c r="A16" s="156" t="n">
        <v>11</v>
      </c>
      <c r="B16" s="33" t="inlineStr">
        <is>
          <t>PRE-AUDIT PLANNING</t>
        </is>
      </c>
      <c r="C16" s="34" t="inlineStr">
        <is>
          <t>Review audit committee reports / discussions during the year</t>
        </is>
      </c>
      <c r="D16" s="165" t="inlineStr"/>
      <c r="E16" s="165" t="inlineStr"/>
      <c r="F16" s="165" t="inlineStr"/>
      <c r="G16" s="153" t="inlineStr">
        <is>
          <t>Pending ⏳</t>
        </is>
      </c>
      <c r="H16" s="160" t="inlineStr">
        <is>
          <t>Medium</t>
        </is>
      </c>
      <c r="I16" s="34" t="inlineStr"/>
    </row>
    <row r="17" ht="30" customHeight="1">
      <c r="A17" s="156" t="n">
        <v>12</v>
      </c>
      <c r="B17" s="33" t="inlineStr">
        <is>
          <t>PRE-AUDIT PLANNING</t>
        </is>
      </c>
      <c r="C17" s="34" t="inlineStr">
        <is>
          <t>Assess going concern indicators — obtain management assessment</t>
        </is>
      </c>
      <c r="D17" s="165" t="inlineStr"/>
      <c r="E17" s="165" t="inlineStr"/>
      <c r="F17" s="165" t="inlineStr"/>
      <c r="G17" s="153" t="inlineStr">
        <is>
          <t>Pending ⏳</t>
        </is>
      </c>
      <c r="H17" s="160" t="inlineStr">
        <is>
          <t>Medium</t>
        </is>
      </c>
      <c r="I17" s="34" t="inlineStr"/>
    </row>
    <row r="18">
      <c r="A18" s="31" t="inlineStr">
        <is>
          <t>B. INTERNAL CONTROLS ASSESSMENT</t>
        </is>
      </c>
    </row>
    <row r="19" ht="30" customHeight="1">
      <c r="A19" s="156" t="n">
        <v>13</v>
      </c>
      <c r="B19" s="33" t="inlineStr">
        <is>
          <t>INTERNAL CONTROLS ASSESSMENT</t>
        </is>
      </c>
      <c r="C19" s="34" t="inlineStr">
        <is>
          <t>Obtain and review Internal Audit reports for FY 2025-26</t>
        </is>
      </c>
      <c r="D19" s="165" t="inlineStr"/>
      <c r="E19" s="165" t="inlineStr"/>
      <c r="F19" s="165" t="inlineStr"/>
      <c r="G19" s="153" t="inlineStr">
        <is>
          <t>Pending ⏳</t>
        </is>
      </c>
      <c r="H19" s="160" t="inlineStr">
        <is>
          <t>Medium</t>
        </is>
      </c>
      <c r="I19" s="34" t="inlineStr"/>
    </row>
    <row r="20" ht="30" customHeight="1">
      <c r="A20" s="156" t="n">
        <v>14</v>
      </c>
      <c r="B20" s="33" t="inlineStr">
        <is>
          <t>INTERNAL CONTROLS ASSESSMENT</t>
        </is>
      </c>
      <c r="C20" s="34" t="inlineStr">
        <is>
          <t>Assess control environment and tone at the top</t>
        </is>
      </c>
      <c r="D20" s="165" t="inlineStr"/>
      <c r="E20" s="165" t="inlineStr"/>
      <c r="F20" s="165" t="inlineStr"/>
      <c r="G20" s="153" t="inlineStr">
        <is>
          <t>Pending ⏳</t>
        </is>
      </c>
      <c r="H20" s="160" t="inlineStr">
        <is>
          <t>Medium</t>
        </is>
      </c>
      <c r="I20" s="34" t="inlineStr"/>
    </row>
    <row r="21" ht="30" customHeight="1">
      <c r="A21" s="156" t="n">
        <v>15</v>
      </c>
      <c r="B21" s="33" t="inlineStr">
        <is>
          <t>INTERNAL CONTROLS ASSESSMENT</t>
        </is>
      </c>
      <c r="C21" s="34" t="inlineStr">
        <is>
          <t>Walk-through key business processes: Revenue, Purchases, Payroll, Treasury</t>
        </is>
      </c>
      <c r="D21" s="165" t="inlineStr"/>
      <c r="E21" s="165" t="inlineStr"/>
      <c r="F21" s="165" t="inlineStr"/>
      <c r="G21" s="153" t="inlineStr">
        <is>
          <t>Pending ⏳</t>
        </is>
      </c>
      <c r="H21" s="160" t="inlineStr">
        <is>
          <t>Medium</t>
        </is>
      </c>
      <c r="I21" s="34" t="inlineStr"/>
    </row>
    <row r="22" ht="30" customHeight="1">
      <c r="A22" s="156" t="n">
        <v>16</v>
      </c>
      <c r="B22" s="33" t="inlineStr">
        <is>
          <t>INTERNAL CONTROLS ASSESSMENT</t>
        </is>
      </c>
      <c r="C22" s="34" t="inlineStr">
        <is>
          <t>Test controls over IT systems — access, change management, backup</t>
        </is>
      </c>
      <c r="D22" s="165" t="inlineStr"/>
      <c r="E22" s="165" t="inlineStr"/>
      <c r="F22" s="165" t="inlineStr"/>
      <c r="G22" s="153" t="inlineStr">
        <is>
          <t>Pending ⏳</t>
        </is>
      </c>
      <c r="H22" s="160" t="inlineStr">
        <is>
          <t>Medium</t>
        </is>
      </c>
      <c r="I22" s="34" t="inlineStr"/>
    </row>
    <row r="23" ht="30" customHeight="1">
      <c r="A23" s="156" t="n">
        <v>17</v>
      </c>
      <c r="B23" s="33" t="inlineStr">
        <is>
          <t>INTERNAL CONTROLS ASSESSMENT</t>
        </is>
      </c>
      <c r="C23" s="34" t="inlineStr">
        <is>
          <t>Evaluate segregation of duties in key processes</t>
        </is>
      </c>
      <c r="D23" s="165" t="inlineStr"/>
      <c r="E23" s="165" t="inlineStr"/>
      <c r="F23" s="165" t="inlineStr"/>
      <c r="G23" s="153" t="inlineStr">
        <is>
          <t>Pending ⏳</t>
        </is>
      </c>
      <c r="H23" s="160" t="inlineStr">
        <is>
          <t>Medium</t>
        </is>
      </c>
      <c r="I23" s="34" t="inlineStr"/>
    </row>
    <row r="24" ht="30" customHeight="1">
      <c r="A24" s="156" t="n">
        <v>18</v>
      </c>
      <c r="B24" s="33" t="inlineStr">
        <is>
          <t>INTERNAL CONTROLS ASSESSMENT</t>
        </is>
      </c>
      <c r="C24" s="34" t="inlineStr">
        <is>
          <t>Review bank reconciliation preparation and approval controls</t>
        </is>
      </c>
      <c r="D24" s="165" t="inlineStr"/>
      <c r="E24" s="165" t="inlineStr"/>
      <c r="F24" s="165" t="inlineStr"/>
      <c r="G24" s="153" t="inlineStr">
        <is>
          <t>Pending ⏳</t>
        </is>
      </c>
      <c r="H24" s="160" t="inlineStr">
        <is>
          <t>Medium</t>
        </is>
      </c>
      <c r="I24" s="34" t="inlineStr"/>
    </row>
    <row r="25" ht="30" customHeight="1">
      <c r="A25" s="156" t="n">
        <v>19</v>
      </c>
      <c r="B25" s="33" t="inlineStr">
        <is>
          <t>INTERNAL CONTROLS ASSESSMENT</t>
        </is>
      </c>
      <c r="C25" s="34" t="inlineStr">
        <is>
          <t>Review controls over inventory count and valuation</t>
        </is>
      </c>
      <c r="D25" s="165" t="inlineStr"/>
      <c r="E25" s="165" t="inlineStr"/>
      <c r="F25" s="165" t="inlineStr"/>
      <c r="G25" s="153" t="inlineStr">
        <is>
          <t>Pending ⏳</t>
        </is>
      </c>
      <c r="H25" s="160" t="inlineStr">
        <is>
          <t>Medium</t>
        </is>
      </c>
      <c r="I25" s="34" t="inlineStr"/>
    </row>
    <row r="26" ht="30" customHeight="1">
      <c r="A26" s="156" t="n">
        <v>20</v>
      </c>
      <c r="B26" s="33" t="inlineStr">
        <is>
          <t>INTERNAL CONTROLS ASSESSMENT</t>
        </is>
      </c>
      <c r="C26" s="34" t="inlineStr">
        <is>
          <t>Review expense approval controls and authorization matrix</t>
        </is>
      </c>
      <c r="D26" s="165" t="inlineStr"/>
      <c r="E26" s="165" t="inlineStr"/>
      <c r="F26" s="165" t="inlineStr"/>
      <c r="G26" s="153" t="inlineStr">
        <is>
          <t>Pending ⏳</t>
        </is>
      </c>
      <c r="H26" s="160" t="inlineStr">
        <is>
          <t>Medium</t>
        </is>
      </c>
      <c r="I26" s="34" t="inlineStr"/>
    </row>
    <row r="27" ht="30" customHeight="1">
      <c r="A27" s="156" t="n">
        <v>21</v>
      </c>
      <c r="B27" s="33" t="inlineStr">
        <is>
          <t>INTERNAL CONTROLS ASSESSMENT</t>
        </is>
      </c>
      <c r="C27" s="34" t="inlineStr">
        <is>
          <t>Document identified control deficiencies and communicate to management</t>
        </is>
      </c>
      <c r="D27" s="165" t="inlineStr"/>
      <c r="E27" s="165" t="inlineStr"/>
      <c r="F27" s="165" t="inlineStr"/>
      <c r="G27" s="153" t="inlineStr">
        <is>
          <t>Pending ⏳</t>
        </is>
      </c>
      <c r="H27" s="160" t="inlineStr">
        <is>
          <t>Medium</t>
        </is>
      </c>
      <c r="I27" s="34" t="inlineStr"/>
    </row>
    <row r="28" ht="30" customHeight="1">
      <c r="A28" s="156" t="n">
        <v>22</v>
      </c>
      <c r="B28" s="33" t="inlineStr">
        <is>
          <t>INTERNAL CONTROLS ASSESSMENT</t>
        </is>
      </c>
      <c r="C28" s="34" t="inlineStr">
        <is>
          <t>Assess impact of control weaknesses on substantive testing scope</t>
        </is>
      </c>
      <c r="D28" s="165" t="inlineStr"/>
      <c r="E28" s="165" t="inlineStr"/>
      <c r="F28" s="165" t="inlineStr"/>
      <c r="G28" s="153" t="inlineStr">
        <is>
          <t>Pending ⏳</t>
        </is>
      </c>
      <c r="H28" s="160" t="inlineStr">
        <is>
          <t>Medium</t>
        </is>
      </c>
      <c r="I28" s="34" t="inlineStr"/>
    </row>
    <row r="29">
      <c r="A29" s="31" t="inlineStr">
        <is>
          <t>C. SHARE CAPITAL &amp; RESERVES</t>
        </is>
      </c>
    </row>
    <row r="30" ht="30" customHeight="1">
      <c r="A30" s="156" t="n">
        <v>23</v>
      </c>
      <c r="B30" s="33" t="inlineStr">
        <is>
          <t>SHARE CAPITAL &amp; RESERVES</t>
        </is>
      </c>
      <c r="C30" s="34" t="inlineStr">
        <is>
          <t>Agree share capital to Register of Members &amp; Form MGT-7A/MGT-7</t>
        </is>
      </c>
      <c r="D30" s="165" t="inlineStr"/>
      <c r="E30" s="165" t="inlineStr"/>
      <c r="F30" s="165" t="inlineStr"/>
      <c r="G30" s="153" t="inlineStr">
        <is>
          <t>Pending ⏳</t>
        </is>
      </c>
      <c r="H30" s="160" t="inlineStr">
        <is>
          <t>Medium</t>
        </is>
      </c>
      <c r="I30" s="34" t="inlineStr"/>
    </row>
    <row r="31" ht="30" customHeight="1">
      <c r="A31" s="156" t="n">
        <v>24</v>
      </c>
      <c r="B31" s="33" t="inlineStr">
        <is>
          <t>SHARE CAPITAL &amp; RESERVES</t>
        </is>
      </c>
      <c r="C31" s="34" t="inlineStr">
        <is>
          <t>Verify calls in arrears / forfeiture — disclosure in FS</t>
        </is>
      </c>
      <c r="D31" s="165" t="inlineStr"/>
      <c r="E31" s="165" t="inlineStr"/>
      <c r="F31" s="165" t="inlineStr"/>
      <c r="G31" s="153" t="inlineStr">
        <is>
          <t>Pending ⏳</t>
        </is>
      </c>
      <c r="H31" s="160" t="inlineStr">
        <is>
          <t>Medium</t>
        </is>
      </c>
      <c r="I31" s="34" t="inlineStr"/>
    </row>
    <row r="32" ht="30" customHeight="1">
      <c r="A32" s="156" t="n">
        <v>25</v>
      </c>
      <c r="B32" s="33" t="inlineStr">
        <is>
          <t>SHARE CAPITAL &amp; RESERVES</t>
        </is>
      </c>
      <c r="C32" s="34" t="inlineStr">
        <is>
          <t>Confirm no new issue without proper approval (Board + Shareholders)</t>
        </is>
      </c>
      <c r="D32" s="165" t="inlineStr"/>
      <c r="E32" s="165" t="inlineStr"/>
      <c r="F32" s="165" t="inlineStr"/>
      <c r="G32" s="153" t="inlineStr">
        <is>
          <t>Pending ⏳</t>
        </is>
      </c>
      <c r="H32" s="160" t="inlineStr">
        <is>
          <t>Medium</t>
        </is>
      </c>
      <c r="I32" s="34" t="inlineStr"/>
    </row>
    <row r="33" ht="30" customHeight="1">
      <c r="A33" s="156" t="n">
        <v>26</v>
      </c>
      <c r="B33" s="33" t="inlineStr">
        <is>
          <t>SHARE CAPITAL &amp; RESERVES</t>
        </is>
      </c>
      <c r="C33" s="34" t="inlineStr">
        <is>
          <t>Verify buyback compliance if any — Sec 68-70</t>
        </is>
      </c>
      <c r="D33" s="165" t="inlineStr"/>
      <c r="E33" s="165" t="inlineStr"/>
      <c r="F33" s="165" t="inlineStr"/>
      <c r="G33" s="153" t="inlineStr">
        <is>
          <t>Pending ⏳</t>
        </is>
      </c>
      <c r="H33" s="160" t="inlineStr">
        <is>
          <t>Medium</t>
        </is>
      </c>
      <c r="I33" s="34" t="inlineStr"/>
    </row>
    <row r="34" ht="30" customHeight="1">
      <c r="A34" s="156" t="n">
        <v>27</v>
      </c>
      <c r="B34" s="33" t="inlineStr">
        <is>
          <t>SHARE CAPITAL &amp; RESERVES</t>
        </is>
      </c>
      <c r="C34" s="34" t="inlineStr">
        <is>
          <t>Review reserves &amp; surplus — trace movements, board resolutions</t>
        </is>
      </c>
      <c r="D34" s="165" t="inlineStr"/>
      <c r="E34" s="165" t="inlineStr"/>
      <c r="F34" s="165" t="inlineStr"/>
      <c r="G34" s="153" t="inlineStr">
        <is>
          <t>Pending ⏳</t>
        </is>
      </c>
      <c r="H34" s="160" t="inlineStr">
        <is>
          <t>Medium</t>
        </is>
      </c>
      <c r="I34" s="34" t="inlineStr"/>
    </row>
    <row r="35" ht="30" customHeight="1">
      <c r="A35" s="156" t="n">
        <v>28</v>
      </c>
      <c r="B35" s="33" t="inlineStr">
        <is>
          <t>SHARE CAPITAL &amp; RESERVES</t>
        </is>
      </c>
      <c r="C35" s="34" t="inlineStr">
        <is>
          <t>Confirm Capital Reserve, Securities Premium are correctly classified</t>
        </is>
      </c>
      <c r="D35" s="165" t="inlineStr"/>
      <c r="E35" s="165" t="inlineStr"/>
      <c r="F35" s="165" t="inlineStr"/>
      <c r="G35" s="153" t="inlineStr">
        <is>
          <t>Pending ⏳</t>
        </is>
      </c>
      <c r="H35" s="160" t="inlineStr">
        <is>
          <t>Medium</t>
        </is>
      </c>
      <c r="I35" s="34" t="inlineStr"/>
    </row>
    <row r="36" ht="30" customHeight="1">
      <c r="A36" s="156" t="n">
        <v>29</v>
      </c>
      <c r="B36" s="33" t="inlineStr">
        <is>
          <t>SHARE CAPITAL &amp; RESERVES</t>
        </is>
      </c>
      <c r="C36" s="34" t="inlineStr">
        <is>
          <t>Check compliance with Sec 123 — dividend declaration from profits only</t>
        </is>
      </c>
      <c r="D36" s="165" t="inlineStr"/>
      <c r="E36" s="165" t="inlineStr"/>
      <c r="F36" s="165" t="inlineStr"/>
      <c r="G36" s="153" t="inlineStr">
        <is>
          <t>Pending ⏳</t>
        </is>
      </c>
      <c r="H36" s="160" t="inlineStr">
        <is>
          <t>Medium</t>
        </is>
      </c>
      <c r="I36" s="34" t="inlineStr"/>
    </row>
    <row r="37" ht="30" customHeight="1">
      <c r="A37" s="156" t="n">
        <v>30</v>
      </c>
      <c r="B37" s="33" t="inlineStr">
        <is>
          <t>SHARE CAPITAL &amp; RESERVES</t>
        </is>
      </c>
      <c r="C37" s="34" t="inlineStr">
        <is>
          <t>Verify interim dividend declared with proper board resolution</t>
        </is>
      </c>
      <c r="D37" s="165" t="inlineStr"/>
      <c r="E37" s="165" t="inlineStr"/>
      <c r="F37" s="165" t="inlineStr"/>
      <c r="G37" s="153" t="inlineStr">
        <is>
          <t>Pending ⏳</t>
        </is>
      </c>
      <c r="H37" s="160" t="inlineStr">
        <is>
          <t>Medium</t>
        </is>
      </c>
      <c r="I37" s="34" t="inlineStr"/>
    </row>
    <row r="38" ht="30" customHeight="1">
      <c r="A38" s="156" t="n">
        <v>31</v>
      </c>
      <c r="B38" s="33" t="inlineStr">
        <is>
          <t>SHARE CAPITAL &amp; RESERVES</t>
        </is>
      </c>
      <c r="C38" s="34" t="inlineStr">
        <is>
          <t>Review CRR (Capital Redemption Reserve) compliance if applicable</t>
        </is>
      </c>
      <c r="D38" s="165" t="inlineStr"/>
      <c r="E38" s="165" t="inlineStr"/>
      <c r="F38" s="165" t="inlineStr"/>
      <c r="G38" s="153" t="inlineStr">
        <is>
          <t>Pending ⏳</t>
        </is>
      </c>
      <c r="H38" s="160" t="inlineStr">
        <is>
          <t>Medium</t>
        </is>
      </c>
      <c r="I38" s="34" t="inlineStr"/>
    </row>
    <row r="39">
      <c r="A39" s="31" t="inlineStr">
        <is>
          <t>D. BORROWINGS &amp; LOANS</t>
        </is>
      </c>
    </row>
    <row r="40" ht="30" customHeight="1">
      <c r="A40" s="156" t="n">
        <v>32</v>
      </c>
      <c r="B40" s="33" t="inlineStr">
        <is>
          <t>BORROWINGS &amp; LOANS</t>
        </is>
      </c>
      <c r="C40" s="34" t="inlineStr">
        <is>
          <t>Obtain schedule of all loans — term loans, CC, OD, ECB, NCD</t>
        </is>
      </c>
      <c r="D40" s="165" t="inlineStr"/>
      <c r="E40" s="165" t="inlineStr"/>
      <c r="F40" s="165" t="inlineStr"/>
      <c r="G40" s="153" t="inlineStr">
        <is>
          <t>Pending ⏳</t>
        </is>
      </c>
      <c r="H40" s="160" t="inlineStr">
        <is>
          <t>Medium</t>
        </is>
      </c>
      <c r="I40" s="34" t="inlineStr"/>
    </row>
    <row r="41" ht="30" customHeight="1">
      <c r="A41" s="156" t="n">
        <v>33</v>
      </c>
      <c r="B41" s="33" t="inlineStr">
        <is>
          <t>BORROWINGS &amp; LOANS</t>
        </is>
      </c>
      <c r="C41" s="34" t="inlineStr">
        <is>
          <t>Confirm balances with loan confirmation letters from lenders</t>
        </is>
      </c>
      <c r="D41" s="165" t="inlineStr"/>
      <c r="E41" s="165" t="inlineStr"/>
      <c r="F41" s="165" t="inlineStr"/>
      <c r="G41" s="153" t="inlineStr">
        <is>
          <t>Pending ⏳</t>
        </is>
      </c>
      <c r="H41" s="160" t="inlineStr">
        <is>
          <t>Medium</t>
        </is>
      </c>
      <c r="I41" s="34" t="inlineStr"/>
    </row>
    <row r="42" ht="30" customHeight="1">
      <c r="A42" s="156" t="n">
        <v>34</v>
      </c>
      <c r="B42" s="33" t="inlineStr">
        <is>
          <t>BORROWINGS &amp; LOANS</t>
        </is>
      </c>
      <c r="C42" s="34" t="inlineStr">
        <is>
          <t>Check classification: current vs non-current (maturity within 12 months)</t>
        </is>
      </c>
      <c r="D42" s="165" t="inlineStr"/>
      <c r="E42" s="165" t="inlineStr"/>
      <c r="F42" s="165" t="inlineStr"/>
      <c r="G42" s="153" t="inlineStr">
        <is>
          <t>Pending ⏳</t>
        </is>
      </c>
      <c r="H42" s="160" t="inlineStr">
        <is>
          <t>Medium</t>
        </is>
      </c>
      <c r="I42" s="34" t="inlineStr"/>
    </row>
    <row r="43" ht="30" customHeight="1">
      <c r="A43" s="156" t="n">
        <v>35</v>
      </c>
      <c r="B43" s="33" t="inlineStr">
        <is>
          <t>BORROWINGS &amp; LOANS</t>
        </is>
      </c>
      <c r="C43" s="34" t="inlineStr">
        <is>
          <t>Verify charges registered with ROC — Form CHG-1 / CHG-9</t>
        </is>
      </c>
      <c r="D43" s="165" t="inlineStr"/>
      <c r="E43" s="165" t="inlineStr"/>
      <c r="F43" s="165" t="inlineStr"/>
      <c r="G43" s="153" t="inlineStr">
        <is>
          <t>Pending ⏳</t>
        </is>
      </c>
      <c r="H43" s="160" t="inlineStr">
        <is>
          <t>Medium</t>
        </is>
      </c>
      <c r="I43" s="34" t="inlineStr"/>
    </row>
    <row r="44" ht="30" customHeight="1">
      <c r="A44" s="156" t="n">
        <v>36</v>
      </c>
      <c r="B44" s="33" t="inlineStr">
        <is>
          <t>BORROWINGS &amp; LOANS</t>
        </is>
      </c>
      <c r="C44" s="34" t="inlineStr">
        <is>
          <t>Ensure CIBIL/credit bureau data matches outstanding balances</t>
        </is>
      </c>
      <c r="D44" s="165" t="inlineStr"/>
      <c r="E44" s="165" t="inlineStr"/>
      <c r="F44" s="165" t="inlineStr"/>
      <c r="G44" s="153" t="inlineStr">
        <is>
          <t>Pending ⏳</t>
        </is>
      </c>
      <c r="H44" s="160" t="inlineStr">
        <is>
          <t>Medium</t>
        </is>
      </c>
      <c r="I44" s="34" t="inlineStr"/>
    </row>
    <row r="45" ht="30" customHeight="1">
      <c r="A45" s="156" t="n">
        <v>37</v>
      </c>
      <c r="B45" s="33" t="inlineStr">
        <is>
          <t>BORROWINGS &amp; LOANS</t>
        </is>
      </c>
      <c r="C45" s="34" t="inlineStr">
        <is>
          <t>Review loan covenants and check for any breaches</t>
        </is>
      </c>
      <c r="D45" s="165" t="inlineStr"/>
      <c r="E45" s="165" t="inlineStr"/>
      <c r="F45" s="165" t="inlineStr"/>
      <c r="G45" s="153" t="inlineStr">
        <is>
          <t>Pending ⏳</t>
        </is>
      </c>
      <c r="H45" s="160" t="inlineStr">
        <is>
          <t>Medium</t>
        </is>
      </c>
      <c r="I45" s="34" t="inlineStr"/>
    </row>
    <row r="46" ht="30" customHeight="1">
      <c r="A46" s="156" t="n">
        <v>38</v>
      </c>
      <c r="B46" s="33" t="inlineStr">
        <is>
          <t>BORROWINGS &amp; LOANS</t>
        </is>
      </c>
      <c r="C46" s="34" t="inlineStr">
        <is>
          <t>Verify Sec 185 &amp; 186 compliance — loans to directors, investments</t>
        </is>
      </c>
      <c r="D46" s="165" t="inlineStr"/>
      <c r="E46" s="165" t="inlineStr"/>
      <c r="F46" s="165" t="inlineStr"/>
      <c r="G46" s="153" t="inlineStr">
        <is>
          <t>Pending ⏳</t>
        </is>
      </c>
      <c r="H46" s="160" t="inlineStr">
        <is>
          <t>Medium</t>
        </is>
      </c>
      <c r="I46" s="34" t="inlineStr"/>
    </row>
    <row r="47" ht="30" customHeight="1">
      <c r="A47" s="156" t="n">
        <v>39</v>
      </c>
      <c r="B47" s="33" t="inlineStr">
        <is>
          <t>BORROWINGS &amp; LOANS</t>
        </is>
      </c>
      <c r="C47" s="34" t="inlineStr">
        <is>
          <t>Review related party loans — Sec 188 approval, arm's length pricing</t>
        </is>
      </c>
      <c r="D47" s="165" t="inlineStr"/>
      <c r="E47" s="165" t="inlineStr"/>
      <c r="F47" s="165" t="inlineStr"/>
      <c r="G47" s="153" t="inlineStr">
        <is>
          <t>Pending ⏳</t>
        </is>
      </c>
      <c r="H47" s="160" t="inlineStr">
        <is>
          <t>Medium</t>
        </is>
      </c>
      <c r="I47" s="34" t="inlineStr"/>
    </row>
    <row r="48" ht="30" customHeight="1">
      <c r="A48" s="156" t="n">
        <v>40</v>
      </c>
      <c r="B48" s="33" t="inlineStr">
        <is>
          <t>BORROWINGS &amp; LOANS</t>
        </is>
      </c>
      <c r="C48" s="34" t="inlineStr">
        <is>
          <t>Check MSME payment compliance — Sec 15-24 MSMED Act</t>
        </is>
      </c>
      <c r="D48" s="165" t="inlineStr"/>
      <c r="E48" s="165" t="inlineStr"/>
      <c r="F48" s="165" t="inlineStr"/>
      <c r="G48" s="153" t="inlineStr">
        <is>
          <t>Pending ⏳</t>
        </is>
      </c>
      <c r="H48" s="160" t="inlineStr">
        <is>
          <t>Medium</t>
        </is>
      </c>
      <c r="I48" s="34" t="inlineStr"/>
    </row>
    <row r="49" ht="30" customHeight="1">
      <c r="A49" s="156" t="n">
        <v>41</v>
      </c>
      <c r="B49" s="33" t="inlineStr">
        <is>
          <t>BORROWINGS &amp; LOANS</t>
        </is>
      </c>
      <c r="C49" s="34" t="inlineStr">
        <is>
          <t>Obtain and review company's borrowing power vs limit in MOA/AOA</t>
        </is>
      </c>
      <c r="D49" s="165" t="inlineStr"/>
      <c r="E49" s="165" t="inlineStr"/>
      <c r="F49" s="165" t="inlineStr"/>
      <c r="G49" s="153" t="inlineStr">
        <is>
          <t>Pending ⏳</t>
        </is>
      </c>
      <c r="H49" s="160" t="inlineStr">
        <is>
          <t>Medium</t>
        </is>
      </c>
      <c r="I49" s="34" t="inlineStr"/>
    </row>
    <row r="50">
      <c r="A50" s="31" t="inlineStr">
        <is>
          <t>E. FIXED ASSETS &amp; DEPRECIATION</t>
        </is>
      </c>
    </row>
    <row r="51" ht="30" customHeight="1">
      <c r="A51" s="156" t="n">
        <v>42</v>
      </c>
      <c r="B51" s="33" t="inlineStr">
        <is>
          <t>FIXED ASSETS &amp; DEPRECIATION</t>
        </is>
      </c>
      <c r="C51" s="34" t="inlineStr">
        <is>
          <t>Obtain Fixed Asset Register (FAR) as at 31-Mar-2026</t>
        </is>
      </c>
      <c r="D51" s="165" t="inlineStr"/>
      <c r="E51" s="165" t="inlineStr"/>
      <c r="F51" s="165" t="inlineStr"/>
      <c r="G51" s="153" t="inlineStr">
        <is>
          <t>Pending ⏳</t>
        </is>
      </c>
      <c r="H51" s="160" t="inlineStr">
        <is>
          <t>Medium</t>
        </is>
      </c>
      <c r="I51" s="34" t="inlineStr"/>
    </row>
    <row r="52" ht="30" customHeight="1">
      <c r="A52" s="156" t="n">
        <v>43</v>
      </c>
      <c r="B52" s="33" t="inlineStr">
        <is>
          <t>FIXED ASSETS &amp; DEPRECIATION</t>
        </is>
      </c>
      <c r="C52" s="34" t="inlineStr">
        <is>
          <t>Verify additions — purchase invoices, CWIP transfers, capitalisation basis</t>
        </is>
      </c>
      <c r="D52" s="165" t="inlineStr"/>
      <c r="E52" s="165" t="inlineStr"/>
      <c r="F52" s="165" t="inlineStr"/>
      <c r="G52" s="153" t="inlineStr">
        <is>
          <t>Pending ⏳</t>
        </is>
      </c>
      <c r="H52" s="160" t="inlineStr">
        <is>
          <t>Medium</t>
        </is>
      </c>
      <c r="I52" s="34" t="inlineStr"/>
    </row>
    <row r="53" ht="30" customHeight="1">
      <c r="A53" s="156" t="n">
        <v>44</v>
      </c>
      <c r="B53" s="33" t="inlineStr">
        <is>
          <t>FIXED ASSETS &amp; DEPRECIATION</t>
        </is>
      </c>
      <c r="C53" s="34" t="inlineStr">
        <is>
          <t>Verify disposals — board approval, sale proceeds, gain/loss computation</t>
        </is>
      </c>
      <c r="D53" s="165" t="inlineStr"/>
      <c r="E53" s="165" t="inlineStr"/>
      <c r="F53" s="165" t="inlineStr"/>
      <c r="G53" s="153" t="inlineStr">
        <is>
          <t>Pending ⏳</t>
        </is>
      </c>
      <c r="H53" s="160" t="inlineStr">
        <is>
          <t>Medium</t>
        </is>
      </c>
      <c r="I53" s="34" t="inlineStr"/>
    </row>
    <row r="54" ht="30" customHeight="1">
      <c r="A54" s="156" t="n">
        <v>45</v>
      </c>
      <c r="B54" s="33" t="inlineStr">
        <is>
          <t>FIXED ASSETS &amp; DEPRECIATION</t>
        </is>
      </c>
      <c r="C54" s="34" t="inlineStr">
        <is>
          <t>Recompute depreciation as per Schedule II of Companies Act 2013</t>
        </is>
      </c>
      <c r="D54" s="165" t="inlineStr"/>
      <c r="E54" s="165" t="inlineStr"/>
      <c r="F54" s="165" t="inlineStr"/>
      <c r="G54" s="153" t="inlineStr">
        <is>
          <t>Pending ⏳</t>
        </is>
      </c>
      <c r="H54" s="160" t="inlineStr">
        <is>
          <t>Medium</t>
        </is>
      </c>
      <c r="I54" s="34" t="inlineStr"/>
    </row>
    <row r="55" ht="30" customHeight="1">
      <c r="A55" s="156" t="n">
        <v>46</v>
      </c>
      <c r="B55" s="33" t="inlineStr">
        <is>
          <t>FIXED ASSETS &amp; DEPRECIATION</t>
        </is>
      </c>
      <c r="C55" s="34" t="inlineStr">
        <is>
          <t>Verify useful life adopted — compare with Schedule II</t>
        </is>
      </c>
      <c r="D55" s="165" t="inlineStr"/>
      <c r="E55" s="165" t="inlineStr"/>
      <c r="F55" s="165" t="inlineStr"/>
      <c r="G55" s="153" t="inlineStr">
        <is>
          <t>Pending ⏳</t>
        </is>
      </c>
      <c r="H55" s="160" t="inlineStr">
        <is>
          <t>Medium</t>
        </is>
      </c>
      <c r="I55" s="34" t="inlineStr"/>
    </row>
    <row r="56" ht="30" customHeight="1">
      <c r="A56" s="156" t="n">
        <v>47</v>
      </c>
      <c r="B56" s="33" t="inlineStr">
        <is>
          <t>FIXED ASSETS &amp; DEPRECIATION</t>
        </is>
      </c>
      <c r="C56" s="34" t="inlineStr">
        <is>
          <t>Physical verification report — assets tagged and verified</t>
        </is>
      </c>
      <c r="D56" s="165" t="inlineStr"/>
      <c r="E56" s="165" t="inlineStr"/>
      <c r="F56" s="165" t="inlineStr"/>
      <c r="G56" s="153" t="inlineStr">
        <is>
          <t>Pending ⏳</t>
        </is>
      </c>
      <c r="H56" s="160" t="inlineStr">
        <is>
          <t>Medium</t>
        </is>
      </c>
      <c r="I56" s="34" t="inlineStr"/>
    </row>
    <row r="57" ht="30" customHeight="1">
      <c r="A57" s="156" t="n">
        <v>48</v>
      </c>
      <c r="B57" s="33" t="inlineStr">
        <is>
          <t>FIXED ASSETS &amp; DEPRECIATION</t>
        </is>
      </c>
      <c r="C57" s="34" t="inlineStr">
        <is>
          <t>Check for impairment indicators as per AS-28 / Ind AS-36</t>
        </is>
      </c>
      <c r="D57" s="165" t="inlineStr"/>
      <c r="E57" s="165" t="inlineStr"/>
      <c r="F57" s="165" t="inlineStr"/>
      <c r="G57" s="153" t="inlineStr">
        <is>
          <t>Pending ⏳</t>
        </is>
      </c>
      <c r="H57" s="160" t="inlineStr">
        <is>
          <t>Medium</t>
        </is>
      </c>
      <c r="I57" s="34" t="inlineStr"/>
    </row>
    <row r="58" ht="30" customHeight="1">
      <c r="A58" s="156" t="n">
        <v>49</v>
      </c>
      <c r="B58" s="33" t="inlineStr">
        <is>
          <t>FIXED ASSETS &amp; DEPRECIATION</t>
        </is>
      </c>
      <c r="C58" s="34" t="inlineStr">
        <is>
          <t>Review assets fully depreciated but still in use</t>
        </is>
      </c>
      <c r="D58" s="165" t="inlineStr"/>
      <c r="E58" s="165" t="inlineStr"/>
      <c r="F58" s="165" t="inlineStr"/>
      <c r="G58" s="153" t="inlineStr">
        <is>
          <t>Pending ⏳</t>
        </is>
      </c>
      <c r="H58" s="160" t="inlineStr">
        <is>
          <t>Medium</t>
        </is>
      </c>
      <c r="I58" s="34" t="inlineStr"/>
    </row>
    <row r="59" ht="30" customHeight="1">
      <c r="A59" s="156" t="n">
        <v>50</v>
      </c>
      <c r="B59" s="33" t="inlineStr">
        <is>
          <t>FIXED ASSETS &amp; DEPRECIATION</t>
        </is>
      </c>
      <c r="C59" s="34" t="inlineStr">
        <is>
          <t>Verify CWIP ageing — identify items pending for capitalisation &gt;3 yrs</t>
        </is>
      </c>
      <c r="D59" s="165" t="inlineStr"/>
      <c r="E59" s="165" t="inlineStr"/>
      <c r="F59" s="165" t="inlineStr"/>
      <c r="G59" s="153" t="inlineStr">
        <is>
          <t>Pending ⏳</t>
        </is>
      </c>
      <c r="H59" s="160" t="inlineStr">
        <is>
          <t>Medium</t>
        </is>
      </c>
      <c r="I59" s="34" t="inlineStr"/>
    </row>
    <row r="60" ht="30" customHeight="1">
      <c r="A60" s="156" t="n">
        <v>51</v>
      </c>
      <c r="B60" s="33" t="inlineStr">
        <is>
          <t>FIXED ASSETS &amp; DEPRECIATION</t>
        </is>
      </c>
      <c r="C60" s="34" t="inlineStr">
        <is>
          <t>Reconcile FAR totals with GL and Balance Sheet</t>
        </is>
      </c>
      <c r="D60" s="165" t="inlineStr"/>
      <c r="E60" s="165" t="inlineStr"/>
      <c r="F60" s="165" t="inlineStr"/>
      <c r="G60" s="153" t="inlineStr">
        <is>
          <t>Pending ⏳</t>
        </is>
      </c>
      <c r="H60" s="160" t="inlineStr">
        <is>
          <t>Medium</t>
        </is>
      </c>
      <c r="I60" s="34" t="inlineStr"/>
    </row>
    <row r="61" ht="30" customHeight="1">
      <c r="A61" s="156" t="n">
        <v>52</v>
      </c>
      <c r="B61" s="33" t="inlineStr">
        <is>
          <t>FIXED ASSETS &amp; DEPRECIATION</t>
        </is>
      </c>
      <c r="C61" s="34" t="inlineStr">
        <is>
          <t>Check Right-of-Use (ROU) assets if Ind AS 116 is applicable</t>
        </is>
      </c>
      <c r="D61" s="165" t="inlineStr"/>
      <c r="E61" s="165" t="inlineStr"/>
      <c r="F61" s="165" t="inlineStr"/>
      <c r="G61" s="153" t="inlineStr">
        <is>
          <t>Pending ⏳</t>
        </is>
      </c>
      <c r="H61" s="160" t="inlineStr">
        <is>
          <t>Medium</t>
        </is>
      </c>
      <c r="I61" s="34" t="inlineStr"/>
    </row>
    <row r="62">
      <c r="A62" s="31" t="inlineStr">
        <is>
          <t>F. INVESTMENTS</t>
        </is>
      </c>
    </row>
    <row r="63" ht="30" customHeight="1">
      <c r="A63" s="156" t="n">
        <v>53</v>
      </c>
      <c r="B63" s="33" t="inlineStr">
        <is>
          <t>INVESTMENTS</t>
        </is>
      </c>
      <c r="C63" s="34" t="inlineStr">
        <is>
          <t>Obtain schedule of investments — listed, unlisted, subsidiaries, associates</t>
        </is>
      </c>
      <c r="D63" s="165" t="inlineStr"/>
      <c r="E63" s="165" t="inlineStr"/>
      <c r="F63" s="165" t="inlineStr"/>
      <c r="G63" s="153" t="inlineStr">
        <is>
          <t>Pending ⏳</t>
        </is>
      </c>
      <c r="H63" s="160" t="inlineStr">
        <is>
          <t>Medium</t>
        </is>
      </c>
      <c r="I63" s="34" t="inlineStr"/>
    </row>
    <row r="64" ht="30" customHeight="1">
      <c r="A64" s="156" t="n">
        <v>54</v>
      </c>
      <c r="B64" s="33" t="inlineStr">
        <is>
          <t>INVESTMENTS</t>
        </is>
      </c>
      <c r="C64" s="34" t="inlineStr">
        <is>
          <t>Verify cost of investment with supporting documents</t>
        </is>
      </c>
      <c r="D64" s="165" t="inlineStr"/>
      <c r="E64" s="165" t="inlineStr"/>
      <c r="F64" s="165" t="inlineStr"/>
      <c r="G64" s="153" t="inlineStr">
        <is>
          <t>Pending ⏳</t>
        </is>
      </c>
      <c r="H64" s="160" t="inlineStr">
        <is>
          <t>Medium</t>
        </is>
      </c>
      <c r="I64" s="34" t="inlineStr"/>
    </row>
    <row r="65" ht="30" customHeight="1">
      <c r="A65" s="156" t="n">
        <v>55</v>
      </c>
      <c r="B65" s="33" t="inlineStr">
        <is>
          <t>INVESTMENTS</t>
        </is>
      </c>
      <c r="C65" s="34" t="inlineStr">
        <is>
          <t>Classify investments as per Ind AS 109 / AS 13 — held-to-maturity, FVTPL, etc.</t>
        </is>
      </c>
      <c r="D65" s="165" t="inlineStr"/>
      <c r="E65" s="165" t="inlineStr"/>
      <c r="F65" s="165" t="inlineStr"/>
      <c r="G65" s="153" t="inlineStr">
        <is>
          <t>Pending ⏳</t>
        </is>
      </c>
      <c r="H65" s="160" t="inlineStr">
        <is>
          <t>Medium</t>
        </is>
      </c>
      <c r="I65" s="34" t="inlineStr"/>
    </row>
    <row r="66" ht="30" customHeight="1">
      <c r="A66" s="156" t="n">
        <v>56</v>
      </c>
      <c r="B66" s="33" t="inlineStr">
        <is>
          <t>INVESTMENTS</t>
        </is>
      </c>
      <c r="C66" s="34" t="inlineStr">
        <is>
          <t>Check fair value / NAV for listed investments at year-end</t>
        </is>
      </c>
      <c r="D66" s="165" t="inlineStr"/>
      <c r="E66" s="165" t="inlineStr"/>
      <c r="F66" s="165" t="inlineStr"/>
      <c r="G66" s="153" t="inlineStr">
        <is>
          <t>Pending ⏳</t>
        </is>
      </c>
      <c r="H66" s="160" t="inlineStr">
        <is>
          <t>Medium</t>
        </is>
      </c>
      <c r="I66" s="34" t="inlineStr"/>
    </row>
    <row r="67" ht="30" customHeight="1">
      <c r="A67" s="156" t="n">
        <v>57</v>
      </c>
      <c r="B67" s="33" t="inlineStr">
        <is>
          <t>INVESTMENTS</t>
        </is>
      </c>
      <c r="C67" s="34" t="inlineStr">
        <is>
          <t>Review diminution in value of investments — provisioning adequacy</t>
        </is>
      </c>
      <c r="D67" s="165" t="inlineStr"/>
      <c r="E67" s="165" t="inlineStr"/>
      <c r="F67" s="165" t="inlineStr"/>
      <c r="G67" s="153" t="inlineStr">
        <is>
          <t>Pending ⏳</t>
        </is>
      </c>
      <c r="H67" s="160" t="inlineStr">
        <is>
          <t>Medium</t>
        </is>
      </c>
      <c r="I67" s="34" t="inlineStr"/>
    </row>
    <row r="68" ht="30" customHeight="1">
      <c r="A68" s="156" t="n">
        <v>58</v>
      </c>
      <c r="B68" s="33" t="inlineStr">
        <is>
          <t>INVESTMENTS</t>
        </is>
      </c>
      <c r="C68" s="34" t="inlineStr">
        <is>
          <t>Verify Sec 186 compliance — limit of 60% of paid-up capital + free reserves</t>
        </is>
      </c>
      <c r="D68" s="165" t="inlineStr"/>
      <c r="E68" s="165" t="inlineStr"/>
      <c r="F68" s="165" t="inlineStr"/>
      <c r="G68" s="153" t="inlineStr">
        <is>
          <t>Pending ⏳</t>
        </is>
      </c>
      <c r="H68" s="160" t="inlineStr">
        <is>
          <t>Medium</t>
        </is>
      </c>
      <c r="I68" s="34" t="inlineStr"/>
    </row>
    <row r="69" ht="30" customHeight="1">
      <c r="A69" s="156" t="n">
        <v>59</v>
      </c>
      <c r="B69" s="33" t="inlineStr">
        <is>
          <t>INVESTMENTS</t>
        </is>
      </c>
      <c r="C69" s="34" t="inlineStr">
        <is>
          <t>Verify Board/Shareholder approval for investments exceeding limits</t>
        </is>
      </c>
      <c r="D69" s="165" t="inlineStr"/>
      <c r="E69" s="165" t="inlineStr"/>
      <c r="F69" s="165" t="inlineStr"/>
      <c r="G69" s="153" t="inlineStr">
        <is>
          <t>Pending ⏳</t>
        </is>
      </c>
      <c r="H69" s="160" t="inlineStr">
        <is>
          <t>Medium</t>
        </is>
      </c>
      <c r="I69" s="34" t="inlineStr"/>
    </row>
    <row r="70" ht="30" customHeight="1">
      <c r="A70" s="156" t="n">
        <v>60</v>
      </c>
      <c r="B70" s="33" t="inlineStr">
        <is>
          <t>INVESTMENTS</t>
        </is>
      </c>
      <c r="C70" s="34" t="inlineStr">
        <is>
          <t>Reconcile investment schedule with FS and confirm income (dividends received)</t>
        </is>
      </c>
      <c r="D70" s="165" t="inlineStr"/>
      <c r="E70" s="165" t="inlineStr"/>
      <c r="F70" s="165" t="inlineStr"/>
      <c r="G70" s="153" t="inlineStr">
        <is>
          <t>Pending ⏳</t>
        </is>
      </c>
      <c r="H70" s="160" t="inlineStr">
        <is>
          <t>Medium</t>
        </is>
      </c>
      <c r="I70" s="34" t="inlineStr"/>
    </row>
    <row r="71">
      <c r="A71" s="31" t="inlineStr">
        <is>
          <t>G. INVENTORIES</t>
        </is>
      </c>
    </row>
    <row r="72" ht="30" customHeight="1">
      <c r="A72" s="156" t="n">
        <v>61</v>
      </c>
      <c r="B72" s="33" t="inlineStr">
        <is>
          <t>INVENTORIES</t>
        </is>
      </c>
      <c r="C72" s="34" t="inlineStr">
        <is>
          <t>Review stock-taking instructions and attend physical count if significant</t>
        </is>
      </c>
      <c r="D72" s="165" t="inlineStr"/>
      <c r="E72" s="165" t="inlineStr"/>
      <c r="F72" s="165" t="inlineStr"/>
      <c r="G72" s="153" t="inlineStr">
        <is>
          <t>Pending ⏳</t>
        </is>
      </c>
      <c r="H72" s="160" t="inlineStr">
        <is>
          <t>Medium</t>
        </is>
      </c>
      <c r="I72" s="34" t="inlineStr"/>
    </row>
    <row r="73" ht="30" customHeight="1">
      <c r="A73" s="156" t="n">
        <v>62</v>
      </c>
      <c r="B73" s="33" t="inlineStr">
        <is>
          <t>INVENTORIES</t>
        </is>
      </c>
      <c r="C73" s="34" t="inlineStr">
        <is>
          <t>Obtain and review stock count sheets / physical count summary</t>
        </is>
      </c>
      <c r="D73" s="165" t="inlineStr"/>
      <c r="E73" s="165" t="inlineStr"/>
      <c r="F73" s="165" t="inlineStr"/>
      <c r="G73" s="153" t="inlineStr">
        <is>
          <t>Pending ⏳</t>
        </is>
      </c>
      <c r="H73" s="160" t="inlineStr">
        <is>
          <t>Medium</t>
        </is>
      </c>
      <c r="I73" s="34" t="inlineStr"/>
    </row>
    <row r="74" ht="30" customHeight="1">
      <c r="A74" s="156" t="n">
        <v>63</v>
      </c>
      <c r="B74" s="33" t="inlineStr">
        <is>
          <t>INVENTORIES</t>
        </is>
      </c>
      <c r="C74" s="34" t="inlineStr">
        <is>
          <t>Verify inventory valuation — lower of cost or NRV (AS-2 / Ind AS-2)</t>
        </is>
      </c>
      <c r="D74" s="165" t="inlineStr"/>
      <c r="E74" s="165" t="inlineStr"/>
      <c r="F74" s="165" t="inlineStr"/>
      <c r="G74" s="153" t="inlineStr">
        <is>
          <t>Pending ⏳</t>
        </is>
      </c>
      <c r="H74" s="160" t="inlineStr">
        <is>
          <t>Medium</t>
        </is>
      </c>
      <c r="I74" s="34" t="inlineStr"/>
    </row>
    <row r="75" ht="30" customHeight="1">
      <c r="A75" s="156" t="n">
        <v>64</v>
      </c>
      <c r="B75" s="33" t="inlineStr">
        <is>
          <t>INVENTORIES</t>
        </is>
      </c>
      <c r="C75" s="34" t="inlineStr">
        <is>
          <t>Verify cost formula — FIFO / WA applied consistently</t>
        </is>
      </c>
      <c r="D75" s="165" t="inlineStr"/>
      <c r="E75" s="165" t="inlineStr"/>
      <c r="F75" s="165" t="inlineStr"/>
      <c r="G75" s="153" t="inlineStr">
        <is>
          <t>Pending ⏳</t>
        </is>
      </c>
      <c r="H75" s="160" t="inlineStr">
        <is>
          <t>Medium</t>
        </is>
      </c>
      <c r="I75" s="34" t="inlineStr"/>
    </row>
    <row r="76" ht="30" customHeight="1">
      <c r="A76" s="156" t="n">
        <v>65</v>
      </c>
      <c r="B76" s="33" t="inlineStr">
        <is>
          <t>INVENTORIES</t>
        </is>
      </c>
      <c r="C76" s="34" t="inlineStr">
        <is>
          <t>Identify slow-moving, obsolete, damaged stocks and provisioning</t>
        </is>
      </c>
      <c r="D76" s="165" t="inlineStr"/>
      <c r="E76" s="165" t="inlineStr"/>
      <c r="F76" s="165" t="inlineStr"/>
      <c r="G76" s="153" t="inlineStr">
        <is>
          <t>Pending ⏳</t>
        </is>
      </c>
      <c r="H76" s="160" t="inlineStr">
        <is>
          <t>Medium</t>
        </is>
      </c>
      <c r="I76" s="34" t="inlineStr"/>
    </row>
    <row r="77" ht="30" customHeight="1">
      <c r="A77" s="156" t="n">
        <v>66</v>
      </c>
      <c r="B77" s="33" t="inlineStr">
        <is>
          <t>INVENTORIES</t>
        </is>
      </c>
      <c r="C77" s="34" t="inlineStr">
        <is>
          <t>Reconcile book stock vs physical stock — investigate differences</t>
        </is>
      </c>
      <c r="D77" s="165" t="inlineStr"/>
      <c r="E77" s="165" t="inlineStr"/>
      <c r="F77" s="165" t="inlineStr"/>
      <c r="G77" s="153" t="inlineStr">
        <is>
          <t>Pending ⏳</t>
        </is>
      </c>
      <c r="H77" s="160" t="inlineStr">
        <is>
          <t>Medium</t>
        </is>
      </c>
      <c r="I77" s="34" t="inlineStr"/>
    </row>
    <row r="78" ht="30" customHeight="1">
      <c r="A78" s="156" t="n">
        <v>67</v>
      </c>
      <c r="B78" s="33" t="inlineStr">
        <is>
          <t>INVENTORIES</t>
        </is>
      </c>
      <c r="C78" s="34" t="inlineStr">
        <is>
          <t>Verify cut-off procedures — last GRN and last delivery note pre-31-Mar-26</t>
        </is>
      </c>
      <c r="D78" s="165" t="inlineStr"/>
      <c r="E78" s="165" t="inlineStr"/>
      <c r="F78" s="165" t="inlineStr"/>
      <c r="G78" s="153" t="inlineStr">
        <is>
          <t>Pending ⏳</t>
        </is>
      </c>
      <c r="H78" s="160" t="inlineStr">
        <is>
          <t>Medium</t>
        </is>
      </c>
      <c r="I78" s="34" t="inlineStr"/>
    </row>
    <row r="79" ht="30" customHeight="1">
      <c r="A79" s="156" t="n">
        <v>68</v>
      </c>
      <c r="B79" s="33" t="inlineStr">
        <is>
          <t>INVENTORIES</t>
        </is>
      </c>
      <c r="C79" s="34" t="inlineStr">
        <is>
          <t>Review WIP valuation — stage of completion, direct costs</t>
        </is>
      </c>
      <c r="D79" s="165" t="inlineStr"/>
      <c r="E79" s="165" t="inlineStr"/>
      <c r="F79" s="165" t="inlineStr"/>
      <c r="G79" s="153" t="inlineStr">
        <is>
          <t>Pending ⏳</t>
        </is>
      </c>
      <c r="H79" s="160" t="inlineStr">
        <is>
          <t>Medium</t>
        </is>
      </c>
      <c r="I79" s="34" t="inlineStr"/>
    </row>
    <row r="80" ht="30" customHeight="1">
      <c r="A80" s="156" t="n">
        <v>69</v>
      </c>
      <c r="B80" s="33" t="inlineStr">
        <is>
          <t>INVENTORIES</t>
        </is>
      </c>
      <c r="C80" s="34" t="inlineStr">
        <is>
          <t>Verify goods-in-transit and consignment inventory treatment</t>
        </is>
      </c>
      <c r="D80" s="165" t="inlineStr"/>
      <c r="E80" s="165" t="inlineStr"/>
      <c r="F80" s="165" t="inlineStr"/>
      <c r="G80" s="153" t="inlineStr">
        <is>
          <t>Pending ⏳</t>
        </is>
      </c>
      <c r="H80" s="160" t="inlineStr">
        <is>
          <t>Medium</t>
        </is>
      </c>
      <c r="I80" s="34" t="inlineStr"/>
    </row>
    <row r="81">
      <c r="A81" s="31" t="inlineStr">
        <is>
          <t>H. TRADE RECEIVABLES &amp; REVENUE</t>
        </is>
      </c>
    </row>
    <row r="82" ht="30" customHeight="1">
      <c r="A82" s="156" t="n">
        <v>70</v>
      </c>
      <c r="B82" s="33" t="inlineStr">
        <is>
          <t>TRADE RECEIVABLES &amp; REVENUE</t>
        </is>
      </c>
      <c r="C82" s="34" t="inlineStr">
        <is>
          <t>Obtain age-wise schedule of debtors as at 31-Mar-2026</t>
        </is>
      </c>
      <c r="D82" s="165" t="inlineStr"/>
      <c r="E82" s="165" t="inlineStr"/>
      <c r="F82" s="165" t="inlineStr"/>
      <c r="G82" s="153" t="inlineStr">
        <is>
          <t>Pending ⏳</t>
        </is>
      </c>
      <c r="H82" s="160" t="inlineStr">
        <is>
          <t>Medium</t>
        </is>
      </c>
      <c r="I82" s="34" t="inlineStr"/>
    </row>
    <row r="83" ht="30" customHeight="1">
      <c r="A83" s="156" t="n">
        <v>71</v>
      </c>
      <c r="B83" s="33" t="inlineStr">
        <is>
          <t>TRADE RECEIVABLES &amp; REVENUE</t>
        </is>
      </c>
      <c r="C83" s="34" t="inlineStr">
        <is>
          <t>Send balance confirmations to major debtors (positive / negative)</t>
        </is>
      </c>
      <c r="D83" s="165" t="inlineStr"/>
      <c r="E83" s="165" t="inlineStr"/>
      <c r="F83" s="165" t="inlineStr"/>
      <c r="G83" s="153" t="inlineStr">
        <is>
          <t>Pending ⏳</t>
        </is>
      </c>
      <c r="H83" s="160" t="inlineStr">
        <is>
          <t>Medium</t>
        </is>
      </c>
      <c r="I83" s="34" t="inlineStr"/>
    </row>
    <row r="84" ht="30" customHeight="1">
      <c r="A84" s="156" t="n">
        <v>72</v>
      </c>
      <c r="B84" s="33" t="inlineStr">
        <is>
          <t>TRADE RECEIVABLES &amp; REVENUE</t>
        </is>
      </c>
      <c r="C84" s="34" t="inlineStr">
        <is>
          <t>Review bad debt provision adequacy — Expected Credit Loss (ECL) model</t>
        </is>
      </c>
      <c r="D84" s="165" t="inlineStr"/>
      <c r="E84" s="165" t="inlineStr"/>
      <c r="F84" s="165" t="inlineStr"/>
      <c r="G84" s="153" t="inlineStr">
        <is>
          <t>Pending ⏳</t>
        </is>
      </c>
      <c r="H84" s="160" t="inlineStr">
        <is>
          <t>Medium</t>
        </is>
      </c>
      <c r="I84" s="34" t="inlineStr"/>
    </row>
    <row r="85" ht="30" customHeight="1">
      <c r="A85" s="156" t="n">
        <v>73</v>
      </c>
      <c r="B85" s="33" t="inlineStr">
        <is>
          <t>TRADE RECEIVABLES &amp; REVENUE</t>
        </is>
      </c>
      <c r="C85" s="34" t="inlineStr">
        <is>
          <t>Check revenue recognition — POCM / proportionate completion for contracts</t>
        </is>
      </c>
      <c r="D85" s="165" t="inlineStr"/>
      <c r="E85" s="165" t="inlineStr"/>
      <c r="F85" s="165" t="inlineStr"/>
      <c r="G85" s="153" t="inlineStr">
        <is>
          <t>Pending ⏳</t>
        </is>
      </c>
      <c r="H85" s="160" t="inlineStr">
        <is>
          <t>Medium</t>
        </is>
      </c>
      <c r="I85" s="34" t="inlineStr"/>
    </row>
    <row r="86" ht="30" customHeight="1">
      <c r="A86" s="156" t="n">
        <v>74</v>
      </c>
      <c r="B86" s="33" t="inlineStr">
        <is>
          <t>TRADE RECEIVABLES &amp; REVENUE</t>
        </is>
      </c>
      <c r="C86" s="34" t="inlineStr">
        <is>
          <t>Verify cut-off — last invoice raised pre-31-Mar-26 vs dispatch date</t>
        </is>
      </c>
      <c r="D86" s="165" t="inlineStr"/>
      <c r="E86" s="165" t="inlineStr"/>
      <c r="F86" s="165" t="inlineStr"/>
      <c r="G86" s="153" t="inlineStr">
        <is>
          <t>Pending ⏳</t>
        </is>
      </c>
      <c r="H86" s="160" t="inlineStr">
        <is>
          <t>Medium</t>
        </is>
      </c>
      <c r="I86" s="34" t="inlineStr"/>
    </row>
    <row r="87" ht="30" customHeight="1">
      <c r="A87" s="156" t="n">
        <v>75</v>
      </c>
      <c r="B87" s="33" t="inlineStr">
        <is>
          <t>TRADE RECEIVABLES &amp; REVENUE</t>
        </is>
      </c>
      <c r="C87" s="34" t="inlineStr">
        <is>
          <t>Review credit notes issued post year-end (debit note check)</t>
        </is>
      </c>
      <c r="D87" s="165" t="inlineStr"/>
      <c r="E87" s="165" t="inlineStr"/>
      <c r="F87" s="165" t="inlineStr"/>
      <c r="G87" s="153" t="inlineStr">
        <is>
          <t>Pending ⏳</t>
        </is>
      </c>
      <c r="H87" s="160" t="inlineStr">
        <is>
          <t>Medium</t>
        </is>
      </c>
      <c r="I87" s="34" t="inlineStr"/>
    </row>
    <row r="88" ht="30" customHeight="1">
      <c r="A88" s="156" t="n">
        <v>76</v>
      </c>
      <c r="B88" s="33" t="inlineStr">
        <is>
          <t>TRADE RECEIVABLES &amp; REVENUE</t>
        </is>
      </c>
      <c r="C88" s="34" t="inlineStr">
        <is>
          <t>Check treatment of sales returns and discount policies</t>
        </is>
      </c>
      <c r="D88" s="165" t="inlineStr"/>
      <c r="E88" s="165" t="inlineStr"/>
      <c r="F88" s="165" t="inlineStr"/>
      <c r="G88" s="153" t="inlineStr">
        <is>
          <t>Pending ⏳</t>
        </is>
      </c>
      <c r="H88" s="160" t="inlineStr">
        <is>
          <t>Medium</t>
        </is>
      </c>
      <c r="I88" s="34" t="inlineStr"/>
    </row>
    <row r="89" ht="30" customHeight="1">
      <c r="A89" s="156" t="n">
        <v>77</v>
      </c>
      <c r="B89" s="33" t="inlineStr">
        <is>
          <t>TRADE RECEIVABLES &amp; REVENUE</t>
        </is>
      </c>
      <c r="C89" s="34" t="inlineStr">
        <is>
          <t>Agree top-10 customer sales with contracts / purchase orders</t>
        </is>
      </c>
      <c r="D89" s="165" t="inlineStr"/>
      <c r="E89" s="165" t="inlineStr"/>
      <c r="F89" s="165" t="inlineStr"/>
      <c r="G89" s="153" t="inlineStr">
        <is>
          <t>Pending ⏳</t>
        </is>
      </c>
      <c r="H89" s="160" t="inlineStr">
        <is>
          <t>Medium</t>
        </is>
      </c>
      <c r="I89" s="34" t="inlineStr"/>
    </row>
    <row r="90" ht="30" customHeight="1">
      <c r="A90" s="156" t="n">
        <v>78</v>
      </c>
      <c r="B90" s="33" t="inlineStr">
        <is>
          <t>TRADE RECEIVABLES &amp; REVENUE</t>
        </is>
      </c>
      <c r="C90" s="34" t="inlineStr">
        <is>
          <t>Reconcile total revenue per GST returns (GSTR-1/3B) with books</t>
        </is>
      </c>
      <c r="D90" s="165" t="inlineStr"/>
      <c r="E90" s="165" t="inlineStr"/>
      <c r="F90" s="165" t="inlineStr"/>
      <c r="G90" s="153" t="inlineStr">
        <is>
          <t>Pending ⏳</t>
        </is>
      </c>
      <c r="H90" s="160" t="inlineStr">
        <is>
          <t>Medium</t>
        </is>
      </c>
      <c r="I90" s="34" t="inlineStr"/>
    </row>
    <row r="91" ht="30" customHeight="1">
      <c r="A91" s="156" t="n">
        <v>79</v>
      </c>
      <c r="B91" s="33" t="inlineStr">
        <is>
          <t>TRADE RECEIVABLES &amp; REVENUE</t>
        </is>
      </c>
      <c r="C91" s="34" t="inlineStr">
        <is>
          <t>Identify related-party sales — Sec 188 / arm's length pricing</t>
        </is>
      </c>
      <c r="D91" s="165" t="inlineStr"/>
      <c r="E91" s="165" t="inlineStr"/>
      <c r="F91" s="165" t="inlineStr"/>
      <c r="G91" s="153" t="inlineStr">
        <is>
          <t>Pending ⏳</t>
        </is>
      </c>
      <c r="H91" s="160" t="inlineStr">
        <is>
          <t>Medium</t>
        </is>
      </c>
      <c r="I91" s="34" t="inlineStr"/>
    </row>
    <row r="92">
      <c r="A92" s="31" t="inlineStr">
        <is>
          <t>I. CASH &amp; BANK BALANCES</t>
        </is>
      </c>
    </row>
    <row r="93" ht="30" customHeight="1">
      <c r="A93" s="156" t="n">
        <v>80</v>
      </c>
      <c r="B93" s="33" t="inlineStr">
        <is>
          <t>CASH &amp; BANK BALANCES</t>
        </is>
      </c>
      <c r="C93" s="34" t="inlineStr">
        <is>
          <t>Obtain bank reconciliation statements as at 31-Mar-2026 for all accounts</t>
        </is>
      </c>
      <c r="D93" s="165" t="inlineStr"/>
      <c r="E93" s="165" t="inlineStr"/>
      <c r="F93" s="165" t="inlineStr"/>
      <c r="G93" s="153" t="inlineStr">
        <is>
          <t>Pending ⏳</t>
        </is>
      </c>
      <c r="H93" s="160" t="inlineStr">
        <is>
          <t>Medium</t>
        </is>
      </c>
      <c r="I93" s="34" t="inlineStr"/>
    </row>
    <row r="94" ht="30" customHeight="1">
      <c r="A94" s="156" t="n">
        <v>81</v>
      </c>
      <c r="B94" s="33" t="inlineStr">
        <is>
          <t>CASH &amp; BANK BALANCES</t>
        </is>
      </c>
      <c r="C94" s="34" t="inlineStr">
        <is>
          <t>Verify BRS — stale cheques, uncleared deposits, inter-bank transfers</t>
        </is>
      </c>
      <c r="D94" s="165" t="inlineStr"/>
      <c r="E94" s="165" t="inlineStr"/>
      <c r="F94" s="165" t="inlineStr"/>
      <c r="G94" s="153" t="inlineStr">
        <is>
          <t>Pending ⏳</t>
        </is>
      </c>
      <c r="H94" s="160" t="inlineStr">
        <is>
          <t>Medium</t>
        </is>
      </c>
      <c r="I94" s="34" t="inlineStr"/>
    </row>
    <row r="95" ht="30" customHeight="1">
      <c r="A95" s="156" t="n">
        <v>82</v>
      </c>
      <c r="B95" s="33" t="inlineStr">
        <is>
          <t>CASH &amp; BANK BALANCES</t>
        </is>
      </c>
      <c r="C95" s="34" t="inlineStr">
        <is>
          <t>Obtain bank confirmation letters for all bank accounts</t>
        </is>
      </c>
      <c r="D95" s="165" t="inlineStr"/>
      <c r="E95" s="165" t="inlineStr"/>
      <c r="F95" s="165" t="inlineStr"/>
      <c r="G95" s="153" t="inlineStr">
        <is>
          <t>Pending ⏳</t>
        </is>
      </c>
      <c r="H95" s="160" t="inlineStr">
        <is>
          <t>Medium</t>
        </is>
      </c>
      <c r="I95" s="34" t="inlineStr"/>
    </row>
    <row r="96" ht="30" customHeight="1">
      <c r="A96" s="156" t="n">
        <v>83</v>
      </c>
      <c r="B96" s="33" t="inlineStr">
        <is>
          <t>CASH &amp; BANK BALANCES</t>
        </is>
      </c>
      <c r="C96" s="34" t="inlineStr">
        <is>
          <t>Physical verification of cash in hand as at year-end</t>
        </is>
      </c>
      <c r="D96" s="165" t="inlineStr"/>
      <c r="E96" s="165" t="inlineStr"/>
      <c r="F96" s="165" t="inlineStr"/>
      <c r="G96" s="153" t="inlineStr">
        <is>
          <t>Pending ⏳</t>
        </is>
      </c>
      <c r="H96" s="160" t="inlineStr">
        <is>
          <t>Medium</t>
        </is>
      </c>
      <c r="I96" s="34" t="inlineStr"/>
    </row>
    <row r="97" ht="30" customHeight="1">
      <c r="A97" s="156" t="n">
        <v>84</v>
      </c>
      <c r="B97" s="33" t="inlineStr">
        <is>
          <t>CASH &amp; BANK BALANCES</t>
        </is>
      </c>
      <c r="C97" s="34" t="inlineStr">
        <is>
          <t>Verify petty cash vouchers — completeness and authorisation</t>
        </is>
      </c>
      <c r="D97" s="165" t="inlineStr"/>
      <c r="E97" s="165" t="inlineStr"/>
      <c r="F97" s="165" t="inlineStr"/>
      <c r="G97" s="153" t="inlineStr">
        <is>
          <t>Pending ⏳</t>
        </is>
      </c>
      <c r="H97" s="160" t="inlineStr">
        <is>
          <t>Medium</t>
        </is>
      </c>
      <c r="I97" s="34" t="inlineStr"/>
    </row>
    <row r="98" ht="30" customHeight="1">
      <c r="A98" s="156" t="n">
        <v>85</v>
      </c>
      <c r="B98" s="33" t="inlineStr">
        <is>
          <t>CASH &amp; BANK BALANCES</t>
        </is>
      </c>
      <c r="C98" s="34" t="inlineStr">
        <is>
          <t>Check for any non-banking transactions in personal accounts of directors</t>
        </is>
      </c>
      <c r="D98" s="165" t="inlineStr"/>
      <c r="E98" s="165" t="inlineStr"/>
      <c r="F98" s="165" t="inlineStr"/>
      <c r="G98" s="153" t="inlineStr">
        <is>
          <t>Pending ⏳</t>
        </is>
      </c>
      <c r="H98" s="160" t="inlineStr">
        <is>
          <t>Medium</t>
        </is>
      </c>
      <c r="I98" s="34" t="inlineStr"/>
    </row>
    <row r="99" ht="30" customHeight="1">
      <c r="A99" s="156" t="n">
        <v>86</v>
      </c>
      <c r="B99" s="33" t="inlineStr">
        <is>
          <t>CASH &amp; BANK BALANCES</t>
        </is>
      </c>
      <c r="C99" s="34" t="inlineStr">
        <is>
          <t>Review bank accounts opened / closed during the year</t>
        </is>
      </c>
      <c r="D99" s="165" t="inlineStr"/>
      <c r="E99" s="165" t="inlineStr"/>
      <c r="F99" s="165" t="inlineStr"/>
      <c r="G99" s="153" t="inlineStr">
        <is>
          <t>Pending ⏳</t>
        </is>
      </c>
      <c r="H99" s="160" t="inlineStr">
        <is>
          <t>Medium</t>
        </is>
      </c>
      <c r="I99" s="34" t="inlineStr"/>
    </row>
    <row r="100" ht="30" customHeight="1">
      <c r="A100" s="156" t="n">
        <v>87</v>
      </c>
      <c r="B100" s="33" t="inlineStr">
        <is>
          <t>CASH &amp; BANK BALANCES</t>
        </is>
      </c>
      <c r="C100" s="34" t="inlineStr">
        <is>
          <t>Verify foreign currency accounts — restatement at year-end exchange rate</t>
        </is>
      </c>
      <c r="D100" s="165" t="inlineStr"/>
      <c r="E100" s="165" t="inlineStr"/>
      <c r="F100" s="165" t="inlineStr"/>
      <c r="G100" s="153" t="inlineStr">
        <is>
          <t>Pending ⏳</t>
        </is>
      </c>
      <c r="H100" s="160" t="inlineStr">
        <is>
          <t>Medium</t>
        </is>
      </c>
      <c r="I100" s="34" t="inlineStr"/>
    </row>
    <row r="101">
      <c r="A101" s="31" t="inlineStr">
        <is>
          <t>J. TRADE PAYABLES &amp; PURCHASES</t>
        </is>
      </c>
    </row>
    <row r="102" ht="30" customHeight="1">
      <c r="A102" s="156" t="n">
        <v>88</v>
      </c>
      <c r="B102" s="33" t="inlineStr">
        <is>
          <t>TRADE PAYABLES &amp; PURCHASES</t>
        </is>
      </c>
      <c r="C102" s="34" t="inlineStr">
        <is>
          <t>Obtain age-wise schedule of creditors as at 31-Mar-2026</t>
        </is>
      </c>
      <c r="D102" s="165" t="inlineStr"/>
      <c r="E102" s="165" t="inlineStr"/>
      <c r="F102" s="165" t="inlineStr"/>
      <c r="G102" s="153" t="inlineStr">
        <is>
          <t>Pending ⏳</t>
        </is>
      </c>
      <c r="H102" s="160" t="inlineStr">
        <is>
          <t>Medium</t>
        </is>
      </c>
      <c r="I102" s="34" t="inlineStr"/>
    </row>
    <row r="103" ht="30" customHeight="1">
      <c r="A103" s="156" t="n">
        <v>89</v>
      </c>
      <c r="B103" s="33" t="inlineStr">
        <is>
          <t>TRADE PAYABLES &amp; PURCHASES</t>
        </is>
      </c>
      <c r="C103" s="34" t="inlineStr">
        <is>
          <t>Send balance confirmations to major vendors</t>
        </is>
      </c>
      <c r="D103" s="165" t="inlineStr"/>
      <c r="E103" s="165" t="inlineStr"/>
      <c r="F103" s="165" t="inlineStr"/>
      <c r="G103" s="153" t="inlineStr">
        <is>
          <t>Pending ⏳</t>
        </is>
      </c>
      <c r="H103" s="160" t="inlineStr">
        <is>
          <t>Medium</t>
        </is>
      </c>
      <c r="I103" s="34" t="inlineStr"/>
    </row>
    <row r="104" ht="30" customHeight="1">
      <c r="A104" s="156" t="n">
        <v>90</v>
      </c>
      <c r="B104" s="33" t="inlineStr">
        <is>
          <t>TRADE PAYABLES &amp; PURCHASES</t>
        </is>
      </c>
      <c r="C104" s="34" t="inlineStr">
        <is>
          <t>Verify MSME outstanding &gt; 45 days — Sec 22 MSMED Act disclosure</t>
        </is>
      </c>
      <c r="D104" s="165" t="inlineStr"/>
      <c r="E104" s="165" t="inlineStr"/>
      <c r="F104" s="165" t="inlineStr"/>
      <c r="G104" s="153" t="inlineStr">
        <is>
          <t>Pending ⏳</t>
        </is>
      </c>
      <c r="H104" s="160" t="inlineStr">
        <is>
          <t>Medium</t>
        </is>
      </c>
      <c r="I104" s="34" t="inlineStr"/>
    </row>
    <row r="105" ht="30" customHeight="1">
      <c r="A105" s="156" t="n">
        <v>91</v>
      </c>
      <c r="B105" s="33" t="inlineStr">
        <is>
          <t>TRADE PAYABLES &amp; PURCHASES</t>
        </is>
      </c>
      <c r="C105" s="34" t="inlineStr">
        <is>
          <t>Verify purchase cut-off — GRNs near year-end</t>
        </is>
      </c>
      <c r="D105" s="165" t="inlineStr"/>
      <c r="E105" s="165" t="inlineStr"/>
      <c r="F105" s="165" t="inlineStr"/>
      <c r="G105" s="153" t="inlineStr">
        <is>
          <t>Pending ⏳</t>
        </is>
      </c>
      <c r="H105" s="160" t="inlineStr">
        <is>
          <t>Medium</t>
        </is>
      </c>
      <c r="I105" s="34" t="inlineStr"/>
    </row>
    <row r="106" ht="30" customHeight="1">
      <c r="A106" s="156" t="n">
        <v>92</v>
      </c>
      <c r="B106" s="33" t="inlineStr">
        <is>
          <t>TRADE PAYABLES &amp; PURCHASES</t>
        </is>
      </c>
      <c r="C106" s="34" t="inlineStr">
        <is>
          <t>Review purchase orders, GRNs, and invoices for major purchases</t>
        </is>
      </c>
      <c r="D106" s="165" t="inlineStr"/>
      <c r="E106" s="165" t="inlineStr"/>
      <c r="F106" s="165" t="inlineStr"/>
      <c r="G106" s="153" t="inlineStr">
        <is>
          <t>Pending ⏳</t>
        </is>
      </c>
      <c r="H106" s="160" t="inlineStr">
        <is>
          <t>Medium</t>
        </is>
      </c>
      <c r="I106" s="34" t="inlineStr"/>
    </row>
    <row r="107" ht="30" customHeight="1">
      <c r="A107" s="156" t="n">
        <v>93</v>
      </c>
      <c r="B107" s="33" t="inlineStr">
        <is>
          <t>TRADE PAYABLES &amp; PURCHASES</t>
        </is>
      </c>
      <c r="C107" s="34" t="inlineStr">
        <is>
          <t>Check for liabilities not recorded — unrecorded payables</t>
        </is>
      </c>
      <c r="D107" s="165" t="inlineStr"/>
      <c r="E107" s="165" t="inlineStr"/>
      <c r="F107" s="165" t="inlineStr"/>
      <c r="G107" s="153" t="inlineStr">
        <is>
          <t>Pending ⏳</t>
        </is>
      </c>
      <c r="H107" s="160" t="inlineStr">
        <is>
          <t>Medium</t>
        </is>
      </c>
      <c r="I107" s="34" t="inlineStr"/>
    </row>
    <row r="108" ht="30" customHeight="1">
      <c r="A108" s="156" t="n">
        <v>94</v>
      </c>
      <c r="B108" s="33" t="inlineStr">
        <is>
          <t>TRADE PAYABLES &amp; PURCHASES</t>
        </is>
      </c>
      <c r="C108" s="34" t="inlineStr">
        <is>
          <t>Trace top purchase vendors to invoices and payments post year-end</t>
        </is>
      </c>
      <c r="D108" s="165" t="inlineStr"/>
      <c r="E108" s="165" t="inlineStr"/>
      <c r="F108" s="165" t="inlineStr"/>
      <c r="G108" s="153" t="inlineStr">
        <is>
          <t>Pending ⏳</t>
        </is>
      </c>
      <c r="H108" s="160" t="inlineStr">
        <is>
          <t>Medium</t>
        </is>
      </c>
      <c r="I108" s="34" t="inlineStr"/>
    </row>
    <row r="109" ht="30" customHeight="1">
      <c r="A109" s="156" t="n">
        <v>95</v>
      </c>
      <c r="B109" s="33" t="inlineStr">
        <is>
          <t>TRADE PAYABLES &amp; PURCHASES</t>
        </is>
      </c>
      <c r="C109" s="34" t="inlineStr">
        <is>
          <t>Verify advance payments to vendors — classification and recoverability</t>
        </is>
      </c>
      <c r="D109" s="165" t="inlineStr"/>
      <c r="E109" s="165" t="inlineStr"/>
      <c r="F109" s="165" t="inlineStr"/>
      <c r="G109" s="153" t="inlineStr">
        <is>
          <t>Pending ⏳</t>
        </is>
      </c>
      <c r="H109" s="160" t="inlineStr">
        <is>
          <t>Medium</t>
        </is>
      </c>
      <c r="I109" s="34" t="inlineStr"/>
    </row>
    <row r="110">
      <c r="A110" s="31" t="inlineStr">
        <is>
          <t>K. PROVISIONS &amp; CONTINGENCIES</t>
        </is>
      </c>
    </row>
    <row r="111" ht="30" customHeight="1">
      <c r="A111" s="156" t="n">
        <v>96</v>
      </c>
      <c r="B111" s="33" t="inlineStr">
        <is>
          <t>PROVISIONS &amp; CONTINGENCIES</t>
        </is>
      </c>
      <c r="C111" s="34" t="inlineStr">
        <is>
          <t>Review provision for employee benefits — gratuity, leave encashment, bonus</t>
        </is>
      </c>
      <c r="D111" s="165" t="inlineStr"/>
      <c r="E111" s="165" t="inlineStr"/>
      <c r="F111" s="165" t="inlineStr"/>
      <c r="G111" s="153" t="inlineStr">
        <is>
          <t>Pending ⏳</t>
        </is>
      </c>
      <c r="H111" s="160" t="inlineStr">
        <is>
          <t>Medium</t>
        </is>
      </c>
      <c r="I111" s="34" t="inlineStr"/>
    </row>
    <row r="112" ht="30" customHeight="1">
      <c r="A112" s="156" t="n">
        <v>97</v>
      </c>
      <c r="B112" s="33" t="inlineStr">
        <is>
          <t>PROVISIONS &amp; CONTINGENCIES</t>
        </is>
      </c>
      <c r="C112" s="34" t="inlineStr">
        <is>
          <t>Verify actuarial valuation report for defined benefit plans (Ind AS 19)</t>
        </is>
      </c>
      <c r="D112" s="165" t="inlineStr"/>
      <c r="E112" s="165" t="inlineStr"/>
      <c r="F112" s="165" t="inlineStr"/>
      <c r="G112" s="153" t="inlineStr">
        <is>
          <t>Pending ⏳</t>
        </is>
      </c>
      <c r="H112" s="160" t="inlineStr">
        <is>
          <t>Medium</t>
        </is>
      </c>
      <c r="I112" s="34" t="inlineStr"/>
    </row>
    <row r="113" ht="30" customHeight="1">
      <c r="A113" s="156" t="n">
        <v>98</v>
      </c>
      <c r="B113" s="33" t="inlineStr">
        <is>
          <t>PROVISIONS &amp; CONTINGENCIES</t>
        </is>
      </c>
      <c r="C113" s="34" t="inlineStr">
        <is>
          <t>Obtain legal counsel letter for pending litigation and contingencies</t>
        </is>
      </c>
      <c r="D113" s="165" t="inlineStr"/>
      <c r="E113" s="165" t="inlineStr"/>
      <c r="F113" s="165" t="inlineStr"/>
      <c r="G113" s="153" t="inlineStr">
        <is>
          <t>Pending ⏳</t>
        </is>
      </c>
      <c r="H113" s="160" t="inlineStr">
        <is>
          <t>Medium</t>
        </is>
      </c>
      <c r="I113" s="34" t="inlineStr"/>
    </row>
    <row r="114" ht="30" customHeight="1">
      <c r="A114" s="156" t="n">
        <v>99</v>
      </c>
      <c r="B114" s="33" t="inlineStr">
        <is>
          <t>PROVISIONS &amp; CONTINGENCIES</t>
        </is>
      </c>
      <c r="C114" s="34" t="inlineStr">
        <is>
          <t>Review warranty provisions — basis and adequacy</t>
        </is>
      </c>
      <c r="D114" s="165" t="inlineStr"/>
      <c r="E114" s="165" t="inlineStr"/>
      <c r="F114" s="165" t="inlineStr"/>
      <c r="G114" s="153" t="inlineStr">
        <is>
          <t>Pending ⏳</t>
        </is>
      </c>
      <c r="H114" s="160" t="inlineStr">
        <is>
          <t>Medium</t>
        </is>
      </c>
      <c r="I114" s="34" t="inlineStr"/>
    </row>
    <row r="115" ht="30" customHeight="1">
      <c r="A115" s="156" t="n">
        <v>100</v>
      </c>
      <c r="B115" s="33" t="inlineStr">
        <is>
          <t>PROVISIONS &amp; CONTINGENCIES</t>
        </is>
      </c>
      <c r="C115" s="34" t="inlineStr">
        <is>
          <t>Verify provision for income tax — advance tax vs TDS vs provision</t>
        </is>
      </c>
      <c r="D115" s="165" t="inlineStr"/>
      <c r="E115" s="165" t="inlineStr"/>
      <c r="F115" s="165" t="inlineStr"/>
      <c r="G115" s="153" t="inlineStr">
        <is>
          <t>Pending ⏳</t>
        </is>
      </c>
      <c r="H115" s="160" t="inlineStr">
        <is>
          <t>Medium</t>
        </is>
      </c>
      <c r="I115" s="34" t="inlineStr"/>
    </row>
    <row r="116" ht="30" customHeight="1">
      <c r="A116" s="156" t="n">
        <v>101</v>
      </c>
      <c r="B116" s="33" t="inlineStr">
        <is>
          <t>PROVISIONS &amp; CONTINGENCIES</t>
        </is>
      </c>
      <c r="C116" s="34" t="inlineStr">
        <is>
          <t>Verify deferred tax computation — temporary differences, DTA/DTL</t>
        </is>
      </c>
      <c r="D116" s="165" t="inlineStr"/>
      <c r="E116" s="165" t="inlineStr"/>
      <c r="F116" s="165" t="inlineStr"/>
      <c r="G116" s="153" t="inlineStr">
        <is>
          <t>Pending ⏳</t>
        </is>
      </c>
      <c r="H116" s="160" t="inlineStr">
        <is>
          <t>Medium</t>
        </is>
      </c>
      <c r="I116" s="34" t="inlineStr"/>
    </row>
    <row r="117" ht="30" customHeight="1">
      <c r="A117" s="156" t="n">
        <v>102</v>
      </c>
      <c r="B117" s="33" t="inlineStr">
        <is>
          <t>PROVISIONS &amp; CONTINGENCIES</t>
        </is>
      </c>
      <c r="C117" s="34" t="inlineStr">
        <is>
          <t>Review contingent liabilities disclosures — adequacy and completeness</t>
        </is>
      </c>
      <c r="D117" s="165" t="inlineStr"/>
      <c r="E117" s="165" t="inlineStr"/>
      <c r="F117" s="165" t="inlineStr"/>
      <c r="G117" s="153" t="inlineStr">
        <is>
          <t>Pending ⏳</t>
        </is>
      </c>
      <c r="H117" s="160" t="inlineStr">
        <is>
          <t>Medium</t>
        </is>
      </c>
      <c r="I117" s="34" t="inlineStr"/>
    </row>
    <row r="118">
      <c r="A118" s="31" t="inlineStr">
        <is>
          <t>L. RELATED PARTY TRANSACTIONS</t>
        </is>
      </c>
    </row>
    <row r="119" ht="30" customHeight="1">
      <c r="A119" s="156" t="n">
        <v>103</v>
      </c>
      <c r="B119" s="33" t="inlineStr">
        <is>
          <t>RELATED PARTY TRANSACTIONS</t>
        </is>
      </c>
      <c r="C119" s="34" t="inlineStr">
        <is>
          <t>Obtain complete list of related parties as per Sec 2(76) / AS-18 / Ind AS-24</t>
        </is>
      </c>
      <c r="D119" s="165" t="inlineStr"/>
      <c r="E119" s="165" t="inlineStr"/>
      <c r="F119" s="165" t="inlineStr"/>
      <c r="G119" s="153" t="inlineStr">
        <is>
          <t>Pending ⏳</t>
        </is>
      </c>
      <c r="H119" s="160" t="inlineStr">
        <is>
          <t>Medium</t>
        </is>
      </c>
      <c r="I119" s="34" t="inlineStr"/>
    </row>
    <row r="120" ht="30" customHeight="1">
      <c r="A120" s="156" t="n">
        <v>104</v>
      </c>
      <c r="B120" s="33" t="inlineStr">
        <is>
          <t>RELATED PARTY TRANSACTIONS</t>
        </is>
      </c>
      <c r="C120" s="34" t="inlineStr">
        <is>
          <t>Review all RPTs — prior approval of Audit Committee (Sec 177)</t>
        </is>
      </c>
      <c r="D120" s="165" t="inlineStr"/>
      <c r="E120" s="165" t="inlineStr"/>
      <c r="F120" s="165" t="inlineStr"/>
      <c r="G120" s="153" t="inlineStr">
        <is>
          <t>Pending ⏳</t>
        </is>
      </c>
      <c r="H120" s="160" t="inlineStr">
        <is>
          <t>Medium</t>
        </is>
      </c>
      <c r="I120" s="34" t="inlineStr"/>
    </row>
    <row r="121" ht="30" customHeight="1">
      <c r="A121" s="156" t="n">
        <v>105</v>
      </c>
      <c r="B121" s="33" t="inlineStr">
        <is>
          <t>RELATED PARTY TRANSACTIONS</t>
        </is>
      </c>
      <c r="C121" s="34" t="inlineStr">
        <is>
          <t>Verify Board/Shareholder approval for RPTs exceeding thresholds (Sec 188)</t>
        </is>
      </c>
      <c r="D121" s="165" t="inlineStr"/>
      <c r="E121" s="165" t="inlineStr"/>
      <c r="F121" s="165" t="inlineStr"/>
      <c r="G121" s="153" t="inlineStr">
        <is>
          <t>Pending ⏳</t>
        </is>
      </c>
      <c r="H121" s="160" t="inlineStr">
        <is>
          <t>Medium</t>
        </is>
      </c>
      <c r="I121" s="34" t="inlineStr"/>
    </row>
    <row r="122" ht="30" customHeight="1">
      <c r="A122" s="156" t="n">
        <v>106</v>
      </c>
      <c r="B122" s="33" t="inlineStr">
        <is>
          <t>RELATED PARTY TRANSACTIONS</t>
        </is>
      </c>
      <c r="C122" s="34" t="inlineStr">
        <is>
          <t>Test arm's length pricing for all significant RPTs</t>
        </is>
      </c>
      <c r="D122" s="165" t="inlineStr"/>
      <c r="E122" s="165" t="inlineStr"/>
      <c r="F122" s="165" t="inlineStr"/>
      <c r="G122" s="153" t="inlineStr">
        <is>
          <t>Pending ⏳</t>
        </is>
      </c>
      <c r="H122" s="160" t="inlineStr">
        <is>
          <t>Medium</t>
        </is>
      </c>
      <c r="I122" s="34" t="inlineStr"/>
    </row>
    <row r="123" ht="30" customHeight="1">
      <c r="A123" s="156" t="n">
        <v>107</v>
      </c>
      <c r="B123" s="33" t="inlineStr">
        <is>
          <t>RELATED PARTY TRANSACTIONS</t>
        </is>
      </c>
      <c r="C123" s="34" t="inlineStr">
        <is>
          <t>Confirm disclosures in FS are complete per Ind AS-24 / AS-18</t>
        </is>
      </c>
      <c r="D123" s="165" t="inlineStr"/>
      <c r="E123" s="165" t="inlineStr"/>
      <c r="F123" s="165" t="inlineStr"/>
      <c r="G123" s="153" t="inlineStr">
        <is>
          <t>Pending ⏳</t>
        </is>
      </c>
      <c r="H123" s="160" t="inlineStr">
        <is>
          <t>Medium</t>
        </is>
      </c>
      <c r="I123" s="34" t="inlineStr"/>
    </row>
    <row r="124" ht="30" customHeight="1">
      <c r="A124" s="156" t="n">
        <v>108</v>
      </c>
      <c r="B124" s="33" t="inlineStr">
        <is>
          <t>RELATED PARTY TRANSACTIONS</t>
        </is>
      </c>
      <c r="C124" s="34" t="inlineStr">
        <is>
          <t>Review Form AOC-2 disclosure for RPTs not at arm's length</t>
        </is>
      </c>
      <c r="D124" s="165" t="inlineStr"/>
      <c r="E124" s="165" t="inlineStr"/>
      <c r="F124" s="165" t="inlineStr"/>
      <c r="G124" s="153" t="inlineStr">
        <is>
          <t>Pending ⏳</t>
        </is>
      </c>
      <c r="H124" s="160" t="inlineStr">
        <is>
          <t>Medium</t>
        </is>
      </c>
      <c r="I124" s="34" t="inlineStr"/>
    </row>
    <row r="125" ht="30" customHeight="1">
      <c r="A125" s="156" t="n">
        <v>109</v>
      </c>
      <c r="B125" s="33" t="inlineStr">
        <is>
          <t>RELATED PARTY TRANSACTIONS</t>
        </is>
      </c>
      <c r="C125" s="34" t="inlineStr">
        <is>
          <t>Check loan transactions with directors / their relatives — Sec 185 compliance</t>
        </is>
      </c>
      <c r="D125" s="165" t="inlineStr"/>
      <c r="E125" s="165" t="inlineStr"/>
      <c r="F125" s="165" t="inlineStr"/>
      <c r="G125" s="153" t="inlineStr">
        <is>
          <t>Pending ⏳</t>
        </is>
      </c>
      <c r="H125" s="160" t="inlineStr">
        <is>
          <t>Medium</t>
        </is>
      </c>
      <c r="I125" s="34" t="inlineStr"/>
    </row>
    <row r="126">
      <c r="A126" s="31" t="inlineStr">
        <is>
          <t>M. PROFIT &amp; LOSS ACCOUNT</t>
        </is>
      </c>
    </row>
    <row r="127" ht="30" customHeight="1">
      <c r="A127" s="156" t="n">
        <v>110</v>
      </c>
      <c r="B127" s="33" t="inlineStr">
        <is>
          <t>PROFIT &amp; LOSS ACCOUNT</t>
        </is>
      </c>
      <c r="C127" s="34" t="inlineStr">
        <is>
          <t>Analytical review — compare revenue/expense line items with prior year</t>
        </is>
      </c>
      <c r="D127" s="165" t="inlineStr"/>
      <c r="E127" s="165" t="inlineStr"/>
      <c r="F127" s="165" t="inlineStr"/>
      <c r="G127" s="153" t="inlineStr">
        <is>
          <t>Pending ⏳</t>
        </is>
      </c>
      <c r="H127" s="160" t="inlineStr">
        <is>
          <t>Medium</t>
        </is>
      </c>
      <c r="I127" s="34" t="inlineStr"/>
    </row>
    <row r="128" ht="30" customHeight="1">
      <c r="A128" s="156" t="n">
        <v>111</v>
      </c>
      <c r="B128" s="33" t="inlineStr">
        <is>
          <t>PROFIT &amp; LOSS ACCOUNT</t>
        </is>
      </c>
      <c r="C128" s="34" t="inlineStr">
        <is>
          <t>Verify revenue from operations — traced to invoices, contracts, GST returns</t>
        </is>
      </c>
      <c r="D128" s="165" t="inlineStr"/>
      <c r="E128" s="165" t="inlineStr"/>
      <c r="F128" s="165" t="inlineStr"/>
      <c r="G128" s="153" t="inlineStr">
        <is>
          <t>Pending ⏳</t>
        </is>
      </c>
      <c r="H128" s="160" t="inlineStr">
        <is>
          <t>Medium</t>
        </is>
      </c>
      <c r="I128" s="34" t="inlineStr"/>
    </row>
    <row r="129" ht="30" customHeight="1">
      <c r="A129" s="156" t="n">
        <v>112</v>
      </c>
      <c r="B129" s="33" t="inlineStr">
        <is>
          <t>PROFIT &amp; LOSS ACCOUNT</t>
        </is>
      </c>
      <c r="C129" s="34" t="inlineStr">
        <is>
          <t>Verify other income — nature, recurrence, correct classification</t>
        </is>
      </c>
      <c r="D129" s="165" t="inlineStr"/>
      <c r="E129" s="165" t="inlineStr"/>
      <c r="F129" s="165" t="inlineStr"/>
      <c r="G129" s="153" t="inlineStr">
        <is>
          <t>Pending ⏳</t>
        </is>
      </c>
      <c r="H129" s="160" t="inlineStr">
        <is>
          <t>Medium</t>
        </is>
      </c>
      <c r="I129" s="34" t="inlineStr"/>
    </row>
    <row r="130" ht="30" customHeight="1">
      <c r="A130" s="156" t="n">
        <v>113</v>
      </c>
      <c r="B130" s="33" t="inlineStr">
        <is>
          <t>PROFIT &amp; LOSS ACCOUNT</t>
        </is>
      </c>
      <c r="C130" s="34" t="inlineStr">
        <is>
          <t>Verify key cost items — cost of materials, employee costs, finance costs</t>
        </is>
      </c>
      <c r="D130" s="165" t="inlineStr"/>
      <c r="E130" s="165" t="inlineStr"/>
      <c r="F130" s="165" t="inlineStr"/>
      <c r="G130" s="153" t="inlineStr">
        <is>
          <t>Pending ⏳</t>
        </is>
      </c>
      <c r="H130" s="160" t="inlineStr">
        <is>
          <t>Medium</t>
        </is>
      </c>
      <c r="I130" s="34" t="inlineStr"/>
    </row>
    <row r="131" ht="30" customHeight="1">
      <c r="A131" s="156" t="n">
        <v>114</v>
      </c>
      <c r="B131" s="33" t="inlineStr">
        <is>
          <t>PROFIT &amp; LOSS ACCOUNT</t>
        </is>
      </c>
      <c r="C131" s="34" t="inlineStr">
        <is>
          <t>Check capitalisation of expenses vs revenue expenditure treatment</t>
        </is>
      </c>
      <c r="D131" s="165" t="inlineStr"/>
      <c r="E131" s="165" t="inlineStr"/>
      <c r="F131" s="165" t="inlineStr"/>
      <c r="G131" s="153" t="inlineStr">
        <is>
          <t>Pending ⏳</t>
        </is>
      </c>
      <c r="H131" s="160" t="inlineStr">
        <is>
          <t>Medium</t>
        </is>
      </c>
      <c r="I131" s="34" t="inlineStr"/>
    </row>
    <row r="132" ht="30" customHeight="1">
      <c r="A132" s="156" t="n">
        <v>115</v>
      </c>
      <c r="B132" s="33" t="inlineStr">
        <is>
          <t>PROFIT &amp; LOSS ACCOUNT</t>
        </is>
      </c>
      <c r="C132" s="34" t="inlineStr">
        <is>
          <t>Review exceptional items — nature, disclosure requirement</t>
        </is>
      </c>
      <c r="D132" s="165" t="inlineStr"/>
      <c r="E132" s="165" t="inlineStr"/>
      <c r="F132" s="165" t="inlineStr"/>
      <c r="G132" s="153" t="inlineStr">
        <is>
          <t>Pending ⏳</t>
        </is>
      </c>
      <c r="H132" s="160" t="inlineStr">
        <is>
          <t>Medium</t>
        </is>
      </c>
      <c r="I132" s="34" t="inlineStr"/>
    </row>
    <row r="133" ht="30" customHeight="1">
      <c r="A133" s="156" t="n">
        <v>116</v>
      </c>
      <c r="B133" s="33" t="inlineStr">
        <is>
          <t>PROFIT &amp; LOSS ACCOUNT</t>
        </is>
      </c>
      <c r="C133" s="34" t="inlineStr">
        <is>
          <t>Verify prior period items — disclosure and nature</t>
        </is>
      </c>
      <c r="D133" s="165" t="inlineStr"/>
      <c r="E133" s="165" t="inlineStr"/>
      <c r="F133" s="165" t="inlineStr"/>
      <c r="G133" s="153" t="inlineStr">
        <is>
          <t>Pending ⏳</t>
        </is>
      </c>
      <c r="H133" s="160" t="inlineStr">
        <is>
          <t>Medium</t>
        </is>
      </c>
      <c r="I133" s="34" t="inlineStr"/>
    </row>
    <row r="134" ht="30" customHeight="1">
      <c r="A134" s="156" t="n">
        <v>117</v>
      </c>
      <c r="B134" s="33" t="inlineStr">
        <is>
          <t>PROFIT &amp; LOSS ACCOUNT</t>
        </is>
      </c>
      <c r="C134" s="34" t="inlineStr">
        <is>
          <t>Trace finance costs to loan schedules and confirm interest computation</t>
        </is>
      </c>
      <c r="D134" s="165" t="inlineStr"/>
      <c r="E134" s="165" t="inlineStr"/>
      <c r="F134" s="165" t="inlineStr"/>
      <c r="G134" s="153" t="inlineStr">
        <is>
          <t>Pending ⏳</t>
        </is>
      </c>
      <c r="H134" s="160" t="inlineStr">
        <is>
          <t>Medium</t>
        </is>
      </c>
      <c r="I134" s="34" t="inlineStr"/>
    </row>
    <row r="135" ht="30" customHeight="1">
      <c r="A135" s="156" t="n">
        <v>118</v>
      </c>
      <c r="B135" s="33" t="inlineStr">
        <is>
          <t>PROFIT &amp; LOSS ACCOUNT</t>
        </is>
      </c>
      <c r="C135" s="34" t="inlineStr">
        <is>
          <t>Review employee costs — PF, ESIC, gratuity contributions compliance</t>
        </is>
      </c>
      <c r="D135" s="165" t="inlineStr"/>
      <c r="E135" s="165" t="inlineStr"/>
      <c r="F135" s="165" t="inlineStr"/>
      <c r="G135" s="153" t="inlineStr">
        <is>
          <t>Pending ⏳</t>
        </is>
      </c>
      <c r="H135" s="160" t="inlineStr">
        <is>
          <t>Medium</t>
        </is>
      </c>
      <c r="I135" s="34" t="inlineStr"/>
    </row>
    <row r="136">
      <c r="A136" s="31" t="inlineStr">
        <is>
          <t>N. NOTES TO ACCOUNTS &amp; DISCLOSURES</t>
        </is>
      </c>
    </row>
    <row r="137" ht="30" customHeight="1">
      <c r="A137" s="156" t="n">
        <v>119</v>
      </c>
      <c r="B137" s="33" t="inlineStr">
        <is>
          <t>NOTES TO ACCOUNTS &amp; DISCLOSURES</t>
        </is>
      </c>
      <c r="C137" s="34" t="inlineStr">
        <is>
          <t>Verify all Schedule III (Division I / II) disclosures — completeness</t>
        </is>
      </c>
      <c r="D137" s="165" t="inlineStr"/>
      <c r="E137" s="165" t="inlineStr"/>
      <c r="F137" s="165" t="inlineStr"/>
      <c r="G137" s="153" t="inlineStr">
        <is>
          <t>Pending ⏳</t>
        </is>
      </c>
      <c r="H137" s="160" t="inlineStr">
        <is>
          <t>Medium</t>
        </is>
      </c>
      <c r="I137" s="34" t="inlineStr"/>
    </row>
    <row r="138" ht="30" customHeight="1">
      <c r="A138" s="156" t="n">
        <v>120</v>
      </c>
      <c r="B138" s="33" t="inlineStr">
        <is>
          <t>NOTES TO ACCOUNTS &amp; DISCLOSURES</t>
        </is>
      </c>
      <c r="C138" s="34" t="inlineStr">
        <is>
          <t>Review note on accounting policies — consistency with prior year</t>
        </is>
      </c>
      <c r="D138" s="165" t="inlineStr"/>
      <c r="E138" s="165" t="inlineStr"/>
      <c r="F138" s="165" t="inlineStr"/>
      <c r="G138" s="153" t="inlineStr">
        <is>
          <t>Pending ⏳</t>
        </is>
      </c>
      <c r="H138" s="160" t="inlineStr">
        <is>
          <t>Medium</t>
        </is>
      </c>
      <c r="I138" s="34" t="inlineStr"/>
    </row>
    <row r="139" ht="30" customHeight="1">
      <c r="A139" s="156" t="n">
        <v>121</v>
      </c>
      <c r="B139" s="33" t="inlineStr">
        <is>
          <t>NOTES TO ACCOUNTS &amp; DISCLOSURES</t>
        </is>
      </c>
      <c r="C139" s="34" t="inlineStr">
        <is>
          <t>Verify earnings per share (EPS) computation — basic and diluted</t>
        </is>
      </c>
      <c r="D139" s="165" t="inlineStr"/>
      <c r="E139" s="165" t="inlineStr"/>
      <c r="F139" s="165" t="inlineStr"/>
      <c r="G139" s="153" t="inlineStr">
        <is>
          <t>Pending ⏳</t>
        </is>
      </c>
      <c r="H139" s="160" t="inlineStr">
        <is>
          <t>Medium</t>
        </is>
      </c>
      <c r="I139" s="34" t="inlineStr"/>
    </row>
    <row r="140" ht="30" customHeight="1">
      <c r="A140" s="156" t="n">
        <v>122</v>
      </c>
      <c r="B140" s="33" t="inlineStr">
        <is>
          <t>NOTES TO ACCOUNTS &amp; DISCLOSURES</t>
        </is>
      </c>
      <c r="C140" s="34" t="inlineStr">
        <is>
          <t>Verify segment reporting disclosures — Ind AS 108 / AS-17</t>
        </is>
      </c>
      <c r="D140" s="165" t="inlineStr"/>
      <c r="E140" s="165" t="inlineStr"/>
      <c r="F140" s="165" t="inlineStr"/>
      <c r="G140" s="153" t="inlineStr">
        <is>
          <t>Pending ⏳</t>
        </is>
      </c>
      <c r="H140" s="160" t="inlineStr">
        <is>
          <t>Medium</t>
        </is>
      </c>
      <c r="I140" s="34" t="inlineStr"/>
    </row>
    <row r="141" ht="30" customHeight="1">
      <c r="A141" s="156" t="n">
        <v>123</v>
      </c>
      <c r="B141" s="33" t="inlineStr">
        <is>
          <t>NOTES TO ACCOUNTS &amp; DISCLOSURES</t>
        </is>
      </c>
      <c r="C141" s="34" t="inlineStr">
        <is>
          <t>Review cash flow statement — indirect method, classification</t>
        </is>
      </c>
      <c r="D141" s="165" t="inlineStr"/>
      <c r="E141" s="165" t="inlineStr"/>
      <c r="F141" s="165" t="inlineStr"/>
      <c r="G141" s="153" t="inlineStr">
        <is>
          <t>Pending ⏳</t>
        </is>
      </c>
      <c r="H141" s="160" t="inlineStr">
        <is>
          <t>Medium</t>
        </is>
      </c>
      <c r="I141" s="34" t="inlineStr"/>
    </row>
    <row r="142" ht="30" customHeight="1">
      <c r="A142" s="156" t="n">
        <v>124</v>
      </c>
      <c r="B142" s="33" t="inlineStr">
        <is>
          <t>NOTES TO ACCOUNTS &amp; DISCLOSURES</t>
        </is>
      </c>
      <c r="C142" s="34" t="inlineStr">
        <is>
          <t>Verify capital commitments and operating lease commitments note</t>
        </is>
      </c>
      <c r="D142" s="165" t="inlineStr"/>
      <c r="E142" s="165" t="inlineStr"/>
      <c r="F142" s="165" t="inlineStr"/>
      <c r="G142" s="153" t="inlineStr">
        <is>
          <t>Pending ⏳</t>
        </is>
      </c>
      <c r="H142" s="160" t="inlineStr">
        <is>
          <t>Medium</t>
        </is>
      </c>
      <c r="I142" s="34" t="inlineStr"/>
    </row>
    <row r="143" ht="30" customHeight="1">
      <c r="A143" s="156" t="n">
        <v>125</v>
      </c>
      <c r="B143" s="33" t="inlineStr">
        <is>
          <t>NOTES TO ACCOUNTS &amp; DISCLOSURES</t>
        </is>
      </c>
      <c r="C143" s="34" t="inlineStr">
        <is>
          <t>Confirm disclosures for CSR — Sec 135 compliance and note</t>
        </is>
      </c>
      <c r="D143" s="165" t="inlineStr"/>
      <c r="E143" s="165" t="inlineStr"/>
      <c r="F143" s="165" t="inlineStr"/>
      <c r="G143" s="153" t="inlineStr">
        <is>
          <t>Pending ⏳</t>
        </is>
      </c>
      <c r="H143" s="160" t="inlineStr">
        <is>
          <t>Medium</t>
        </is>
      </c>
      <c r="I143" s="34" t="inlineStr"/>
    </row>
    <row r="144" ht="30" customHeight="1">
      <c r="A144" s="156" t="n">
        <v>126</v>
      </c>
      <c r="B144" s="33" t="inlineStr">
        <is>
          <t>NOTES TO ACCOUNTS &amp; DISCLOSURES</t>
        </is>
      </c>
      <c r="C144" s="34" t="inlineStr">
        <is>
          <t>Verify Managerial Remuneration note — Sec 197 limits compliance</t>
        </is>
      </c>
      <c r="D144" s="165" t="inlineStr"/>
      <c r="E144" s="165" t="inlineStr"/>
      <c r="F144" s="165" t="inlineStr"/>
      <c r="G144" s="153" t="inlineStr">
        <is>
          <t>Pending ⏳</t>
        </is>
      </c>
      <c r="H144" s="160" t="inlineStr">
        <is>
          <t>Medium</t>
        </is>
      </c>
      <c r="I144" s="34" t="inlineStr"/>
    </row>
    <row r="145" ht="30" customHeight="1">
      <c r="A145" s="156" t="n">
        <v>127</v>
      </c>
      <c r="B145" s="33" t="inlineStr">
        <is>
          <t>NOTES TO ACCOUNTS &amp; DISCLOSURES</t>
        </is>
      </c>
      <c r="C145" s="34" t="inlineStr">
        <is>
          <t>Check disclosure of undisclosed income / assets per Sec 138A</t>
        </is>
      </c>
      <c r="D145" s="165" t="inlineStr"/>
      <c r="E145" s="165" t="inlineStr"/>
      <c r="F145" s="165" t="inlineStr"/>
      <c r="G145" s="153" t="inlineStr">
        <is>
          <t>Pending ⏳</t>
        </is>
      </c>
      <c r="H145" s="160" t="inlineStr">
        <is>
          <t>Medium</t>
        </is>
      </c>
      <c r="I145" s="34" t="inlineStr"/>
    </row>
    <row r="146" ht="30" customHeight="1">
      <c r="A146" s="156" t="n">
        <v>128</v>
      </c>
      <c r="B146" s="33" t="inlineStr">
        <is>
          <t>NOTES TO ACCOUNTS &amp; DISCLOSURES</t>
        </is>
      </c>
      <c r="C146" s="34" t="inlineStr">
        <is>
          <t>Verify going concern disclosure if any indicators noted</t>
        </is>
      </c>
      <c r="D146" s="165" t="inlineStr"/>
      <c r="E146" s="165" t="inlineStr"/>
      <c r="F146" s="165" t="inlineStr"/>
      <c r="G146" s="153" t="inlineStr">
        <is>
          <t>Pending ⏳</t>
        </is>
      </c>
      <c r="H146" s="160" t="inlineStr">
        <is>
          <t>Medium</t>
        </is>
      </c>
      <c r="I146" s="34" t="inlineStr"/>
    </row>
    <row r="147" ht="30" customHeight="1">
      <c r="A147" s="156" t="n">
        <v>129</v>
      </c>
      <c r="B147" s="33" t="inlineStr">
        <is>
          <t>NOTES TO ACCOUNTS &amp; DISCLOSURES</t>
        </is>
      </c>
      <c r="C147" s="34" t="inlineStr">
        <is>
          <t>Review subsequent events (after 31-Mar-26 up to date of report)</t>
        </is>
      </c>
      <c r="D147" s="165" t="inlineStr"/>
      <c r="E147" s="165" t="inlineStr"/>
      <c r="F147" s="165" t="inlineStr"/>
      <c r="G147" s="153" t="inlineStr">
        <is>
          <t>Pending ⏳</t>
        </is>
      </c>
      <c r="H147" s="160" t="inlineStr">
        <is>
          <t>Medium</t>
        </is>
      </c>
      <c r="I147" s="34" t="inlineStr"/>
    </row>
    <row r="148">
      <c r="A148" s="31" t="inlineStr">
        <is>
          <t>O. COMPLIANCE CHECKS</t>
        </is>
      </c>
    </row>
    <row r="149" ht="30" customHeight="1">
      <c r="A149" s="156" t="n">
        <v>130</v>
      </c>
      <c r="B149" s="33" t="inlineStr">
        <is>
          <t>COMPLIANCE CHECKS</t>
        </is>
      </c>
      <c r="C149" s="34" t="inlineStr">
        <is>
          <t>ROC filings — MGT-7 / MGT-7A, AOC-4, PAS-3 up to date</t>
        </is>
      </c>
      <c r="D149" s="165" t="inlineStr"/>
      <c r="E149" s="165" t="inlineStr"/>
      <c r="F149" s="165" t="inlineStr"/>
      <c r="G149" s="153" t="inlineStr">
        <is>
          <t>Pending ⏳</t>
        </is>
      </c>
      <c r="H149" s="160" t="inlineStr">
        <is>
          <t>Medium</t>
        </is>
      </c>
      <c r="I149" s="34" t="inlineStr"/>
    </row>
    <row r="150" ht="30" customHeight="1">
      <c r="A150" s="156" t="n">
        <v>131</v>
      </c>
      <c r="B150" s="33" t="inlineStr">
        <is>
          <t>COMPLIANCE CHECKS</t>
        </is>
      </c>
      <c r="C150" s="34" t="inlineStr">
        <is>
          <t>Verify that company has maintained statutory registers at registered office</t>
        </is>
      </c>
      <c r="D150" s="165" t="inlineStr"/>
      <c r="E150" s="165" t="inlineStr"/>
      <c r="F150" s="165" t="inlineStr"/>
      <c r="G150" s="153" t="inlineStr">
        <is>
          <t>Pending ⏳</t>
        </is>
      </c>
      <c r="H150" s="160" t="inlineStr">
        <is>
          <t>Medium</t>
        </is>
      </c>
      <c r="I150" s="34" t="inlineStr"/>
    </row>
    <row r="151" ht="30" customHeight="1">
      <c r="A151" s="156" t="n">
        <v>132</v>
      </c>
      <c r="B151" s="33" t="inlineStr">
        <is>
          <t>COMPLIANCE CHECKS</t>
        </is>
      </c>
      <c r="C151" s="34" t="inlineStr">
        <is>
          <t>Verify annual return and financial statements filed timely (Sec 92, 137)</t>
        </is>
      </c>
      <c r="D151" s="165" t="inlineStr"/>
      <c r="E151" s="165" t="inlineStr"/>
      <c r="F151" s="165" t="inlineStr"/>
      <c r="G151" s="153" t="inlineStr">
        <is>
          <t>Pending ⏳</t>
        </is>
      </c>
      <c r="H151" s="160" t="inlineStr">
        <is>
          <t>Medium</t>
        </is>
      </c>
      <c r="I151" s="34" t="inlineStr"/>
    </row>
    <row r="152" ht="30" customHeight="1">
      <c r="A152" s="156" t="n">
        <v>133</v>
      </c>
      <c r="B152" s="33" t="inlineStr">
        <is>
          <t>COMPLIANCE CHECKS</t>
        </is>
      </c>
      <c r="C152" s="34" t="inlineStr">
        <is>
          <t>Check compliance with Sec 134 — Directors' Responsibility Statement</t>
        </is>
      </c>
      <c r="D152" s="165" t="inlineStr"/>
      <c r="E152" s="165" t="inlineStr"/>
      <c r="F152" s="165" t="inlineStr"/>
      <c r="G152" s="153" t="inlineStr">
        <is>
          <t>Pending ⏳</t>
        </is>
      </c>
      <c r="H152" s="160" t="inlineStr">
        <is>
          <t>Medium</t>
        </is>
      </c>
      <c r="I152" s="34" t="inlineStr"/>
    </row>
    <row r="153" ht="30" customHeight="1">
      <c r="A153" s="156" t="n">
        <v>134</v>
      </c>
      <c r="B153" s="33" t="inlineStr">
        <is>
          <t>COMPLIANCE CHECKS</t>
        </is>
      </c>
      <c r="C153" s="34" t="inlineStr">
        <is>
          <t>Review Board's Report — Sec 134(3) compliance (all prescribed contents)</t>
        </is>
      </c>
      <c r="D153" s="165" t="inlineStr"/>
      <c r="E153" s="165" t="inlineStr"/>
      <c r="F153" s="165" t="inlineStr"/>
      <c r="G153" s="153" t="inlineStr">
        <is>
          <t>Pending ⏳</t>
        </is>
      </c>
      <c r="H153" s="160" t="inlineStr">
        <is>
          <t>Medium</t>
        </is>
      </c>
      <c r="I153" s="34" t="inlineStr"/>
    </row>
    <row r="154" ht="30" customHeight="1">
      <c r="A154" s="156" t="n">
        <v>135</v>
      </c>
      <c r="B154" s="33" t="inlineStr">
        <is>
          <t>COMPLIANCE CHECKS</t>
        </is>
      </c>
      <c r="C154" s="34" t="inlineStr">
        <is>
          <t>Verify CSR policy, committee, spending compliance — Sec 135</t>
        </is>
      </c>
      <c r="D154" s="165" t="inlineStr"/>
      <c r="E154" s="165" t="inlineStr"/>
      <c r="F154" s="165" t="inlineStr"/>
      <c r="G154" s="153" t="inlineStr">
        <is>
          <t>Pending ⏳</t>
        </is>
      </c>
      <c r="H154" s="160" t="inlineStr">
        <is>
          <t>Medium</t>
        </is>
      </c>
      <c r="I154" s="34" t="inlineStr"/>
    </row>
    <row r="155" ht="30" customHeight="1">
      <c r="A155" s="156" t="n">
        <v>136</v>
      </c>
      <c r="B155" s="33" t="inlineStr">
        <is>
          <t>COMPLIANCE CHECKS</t>
        </is>
      </c>
      <c r="C155" s="34" t="inlineStr">
        <is>
          <t>Confirm independent director compliance — Sec 149</t>
        </is>
      </c>
      <c r="D155" s="165" t="inlineStr"/>
      <c r="E155" s="165" t="inlineStr"/>
      <c r="F155" s="165" t="inlineStr"/>
      <c r="G155" s="153" t="inlineStr">
        <is>
          <t>Pending ⏳</t>
        </is>
      </c>
      <c r="H155" s="160" t="inlineStr">
        <is>
          <t>Medium</t>
        </is>
      </c>
      <c r="I155" s="34" t="inlineStr"/>
    </row>
    <row r="156" ht="30" customHeight="1">
      <c r="A156" s="156" t="n">
        <v>137</v>
      </c>
      <c r="B156" s="33" t="inlineStr">
        <is>
          <t>COMPLIANCE CHECKS</t>
        </is>
      </c>
      <c r="C156" s="34" t="inlineStr">
        <is>
          <t>Check that AGM was held within 6 months of FY end (Sec 96)</t>
        </is>
      </c>
      <c r="D156" s="165" t="inlineStr"/>
      <c r="E156" s="165" t="inlineStr"/>
      <c r="F156" s="165" t="inlineStr"/>
      <c r="G156" s="153" t="inlineStr">
        <is>
          <t>Pending ⏳</t>
        </is>
      </c>
      <c r="H156" s="160" t="inlineStr">
        <is>
          <t>Medium</t>
        </is>
      </c>
      <c r="I156" s="34" t="inlineStr"/>
    </row>
    <row r="157" ht="30" customHeight="1">
      <c r="A157" s="156" t="n">
        <v>138</v>
      </c>
      <c r="B157" s="33" t="inlineStr">
        <is>
          <t>COMPLIANCE CHECKS</t>
        </is>
      </c>
      <c r="C157" s="34" t="inlineStr">
        <is>
          <t>Verify vigil mechanism / whistle-blower policy — Sec 177(9)</t>
        </is>
      </c>
      <c r="D157" s="165" t="inlineStr"/>
      <c r="E157" s="165" t="inlineStr"/>
      <c r="F157" s="165" t="inlineStr"/>
      <c r="G157" s="153" t="inlineStr">
        <is>
          <t>Pending ⏳</t>
        </is>
      </c>
      <c r="H157" s="160" t="inlineStr">
        <is>
          <t>Medium</t>
        </is>
      </c>
      <c r="I157" s="34" t="inlineStr"/>
    </row>
    <row r="158" ht="30" customHeight="1">
      <c r="A158" s="156" t="n">
        <v>139</v>
      </c>
      <c r="B158" s="33" t="inlineStr">
        <is>
          <t>COMPLIANCE CHECKS</t>
        </is>
      </c>
      <c r="C158" s="34" t="inlineStr">
        <is>
          <t>Confirm no disqualification of directors during the year — Sec 164</t>
        </is>
      </c>
      <c r="D158" s="165" t="inlineStr"/>
      <c r="E158" s="165" t="inlineStr"/>
      <c r="F158" s="165" t="inlineStr"/>
      <c r="G158" s="153" t="inlineStr">
        <is>
          <t>Pending ⏳</t>
        </is>
      </c>
      <c r="H158" s="160" t="inlineStr">
        <is>
          <t>Medium</t>
        </is>
      </c>
      <c r="I158" s="34" t="inlineStr"/>
    </row>
  </sheetData>
  <mergeCells count="17">
    <mergeCell ref="A29:I29"/>
    <mergeCell ref="A148:I148"/>
    <mergeCell ref="A81:I81"/>
    <mergeCell ref="A2:I2"/>
    <mergeCell ref="A71:I71"/>
    <mergeCell ref="A5:I5"/>
    <mergeCell ref="A1:I1"/>
    <mergeCell ref="A118:I118"/>
    <mergeCell ref="A18:I18"/>
    <mergeCell ref="A110:I110"/>
    <mergeCell ref="A126:I126"/>
    <mergeCell ref="A136:I136"/>
    <mergeCell ref="A39:I39"/>
    <mergeCell ref="A50:I50"/>
    <mergeCell ref="A62:I62"/>
    <mergeCell ref="A92:I92"/>
    <mergeCell ref="A101:I101"/>
  </mergeCells>
  <dataValidations count="2">
    <dataValidation sqref="G5:G159" showDropDown="0" showInputMessage="0" showErrorMessage="0" allowBlank="1" type="list">
      <formula1>"Done ✅,In Progress 🔄,Pending ⏳,N/A ➖,Refer Partner ⚠️"</formula1>
    </dataValidation>
    <dataValidation sqref="H5:H159"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0" customWidth="1" min="2" max="2"/>
    <col width="55" customWidth="1" min="3" max="3"/>
    <col width="42" customWidth="1" min="4" max="4"/>
    <col width="13" customWidth="1" min="5" max="5"/>
    <col width="35" customWidth="1" min="6" max="6"/>
    <col width="12" customWidth="1" min="7" max="7"/>
    <col width="10" customWidth="1" min="8" max="8"/>
  </cols>
  <sheetData>
    <row r="1">
      <c r="A1" s="30" t="inlineStr">
        <is>
          <t>CARO 2020 — COMPANIES AUDITOR'S REPORT ORDER  |  FY 2025-26</t>
        </is>
      </c>
    </row>
    <row r="2">
      <c r="A2" s="31" t="inlineStr">
        <is>
          <t>Applicable to all companies except those specifically exempted. Report under each clause separately.</t>
        </is>
      </c>
    </row>
    <row r="4">
      <c r="A4" s="22" t="inlineStr">
        <is>
          <t>Para</t>
        </is>
      </c>
      <c r="B4" s="22" t="inlineStr">
        <is>
          <t>Clause</t>
        </is>
      </c>
      <c r="C4" s="22" t="inlineStr">
        <is>
          <t>CARO 2020 Requirement</t>
        </is>
      </c>
      <c r="D4" s="22" t="inlineStr">
        <is>
          <t>Audit Procedures</t>
        </is>
      </c>
      <c r="E4" s="22" t="inlineStr">
        <is>
          <t>Status</t>
        </is>
      </c>
      <c r="F4" s="22" t="inlineStr">
        <is>
          <t>Observation / Reporting</t>
        </is>
      </c>
      <c r="G4" s="22" t="inlineStr">
        <is>
          <t>Favourable?</t>
        </is>
      </c>
      <c r="H4" s="22" t="inlineStr">
        <is>
          <t>WP Ref</t>
        </is>
      </c>
    </row>
    <row r="5" ht="55" customHeight="1">
      <c r="A5" s="159" t="inlineStr">
        <is>
          <t>Para i</t>
        </is>
      </c>
      <c r="B5" s="39" t="inlineStr">
        <is>
          <t>Property, Plant &amp; Equipment</t>
        </is>
      </c>
      <c r="C5" s="40" t="inlineStr">
        <is>
          <t>Whether proper records maintained; physical verification done; discrepancies material; title deeds of immovable properties held in name of company; revaluation done during year; if benami property held.</t>
        </is>
      </c>
      <c r="D5" s="40" t="inlineStr">
        <is>
          <t>Check FAR, physical verification report, title deeds, revaluation report, check benami status</t>
        </is>
      </c>
      <c r="E5" s="153" t="inlineStr">
        <is>
          <t>Pending ⏳</t>
        </is>
      </c>
      <c r="F5" s="34" t="inlineStr"/>
      <c r="G5" s="160" t="inlineStr"/>
      <c r="H5" s="165" t="inlineStr"/>
    </row>
    <row r="6" ht="55" customHeight="1">
      <c r="A6" s="159" t="inlineStr">
        <is>
          <t>Para ii</t>
        </is>
      </c>
      <c r="B6" s="39" t="inlineStr">
        <is>
          <t>Inventories &amp; Working Capital Loans</t>
        </is>
      </c>
      <c r="C6" s="34" t="inlineStr">
        <is>
          <t>Whether physical verification conducted by management; material discrepancies noticed and dealt with in books. If working capital limits &gt;₹5 Cr from banks/FIs — quarterly returns/statements filed — whether they agree with books.</t>
        </is>
      </c>
      <c r="D6" s="34" t="inlineStr">
        <is>
          <t>Attend/review stockcount; reconcile count sheets; obtain quarterly stock statements filed with bank</t>
        </is>
      </c>
      <c r="E6" s="153" t="inlineStr">
        <is>
          <t>Pending ⏳</t>
        </is>
      </c>
      <c r="F6" s="34" t="inlineStr"/>
      <c r="G6" s="160" t="inlineStr"/>
      <c r="H6" s="165" t="inlineStr"/>
    </row>
    <row r="7" ht="55" customHeight="1">
      <c r="A7" s="159" t="inlineStr">
        <is>
          <t>Para iii</t>
        </is>
      </c>
      <c r="B7" s="39" t="inlineStr">
        <is>
          <t>Investments, Guarantees &amp; Loans (Sec 185/186)</t>
        </is>
      </c>
      <c r="C7" s="40" t="inlineStr">
        <is>
          <t>Whether company has granted loans/advances/guarantees/securities to companies, firms, LLPs, others — compliance with Sec 185 &amp; 186; whether terms prejudicial to interest; schedule of such transactions.</t>
        </is>
      </c>
      <c r="D7" s="40" t="inlineStr">
        <is>
          <t>Review loan register, Board minutes, Sec 185/186 register; check arm's length and board approval</t>
        </is>
      </c>
      <c r="E7" s="153" t="inlineStr">
        <is>
          <t>Pending ⏳</t>
        </is>
      </c>
      <c r="F7" s="34" t="inlineStr"/>
      <c r="G7" s="160" t="inlineStr"/>
      <c r="H7" s="165" t="inlineStr"/>
    </row>
    <row r="8" ht="55" customHeight="1">
      <c r="A8" s="159" t="inlineStr">
        <is>
          <t>Para iv</t>
        </is>
      </c>
      <c r="B8" s="39" t="inlineStr">
        <is>
          <t>Loans, Investments, Guarantees, Security (Sec 185/186)</t>
        </is>
      </c>
      <c r="C8" s="34" t="inlineStr">
        <is>
          <t>Compliance with Sec 185 and 186 of Companies Act 2013 for loans, investments, guarantees, and securities provided.</t>
        </is>
      </c>
      <c r="D8" s="34" t="inlineStr">
        <is>
          <t>Review investments register, check ROC filing CHG-1, board resolutions</t>
        </is>
      </c>
      <c r="E8" s="153" t="inlineStr">
        <is>
          <t>Pending ⏳</t>
        </is>
      </c>
      <c r="F8" s="34" t="inlineStr"/>
      <c r="G8" s="160" t="inlineStr"/>
      <c r="H8" s="165" t="inlineStr"/>
    </row>
    <row r="9" ht="55" customHeight="1">
      <c r="A9" s="159" t="inlineStr">
        <is>
          <t>Para v</t>
        </is>
      </c>
      <c r="B9" s="39" t="inlineStr">
        <is>
          <t>Deposits</t>
        </is>
      </c>
      <c r="C9" s="40" t="inlineStr">
        <is>
          <t>Whether company has accepted deposits from public. If yes, whether directives of RBI and Sec 73-76 and rules complied with. If order passed by CLB/NCLT — has it been complied with?</t>
        </is>
      </c>
      <c r="D9" s="40" t="inlineStr">
        <is>
          <t>Review deposit register; check RBI circular compliance; NCLT orders if any</t>
        </is>
      </c>
      <c r="E9" s="153" t="inlineStr">
        <is>
          <t>Pending ⏳</t>
        </is>
      </c>
      <c r="F9" s="34" t="inlineStr"/>
      <c r="G9" s="160" t="inlineStr"/>
      <c r="H9" s="165" t="inlineStr"/>
    </row>
    <row r="10" ht="55" customHeight="1">
      <c r="A10" s="159" t="inlineStr">
        <is>
          <t>Para vi</t>
        </is>
      </c>
      <c r="B10" s="39" t="inlineStr">
        <is>
          <t>Cost Records</t>
        </is>
      </c>
      <c r="C10" s="34" t="inlineStr">
        <is>
          <t>Whether maintenance of cost records has been specified by Central Government u/s 148(1) of the Act, and whether such records have been made and maintained.</t>
        </is>
      </c>
      <c r="D10" s="34" t="inlineStr">
        <is>
          <t>Check if company falls under Companies (Cost Records and Audit) Rules 2014; verify cost records maintained</t>
        </is>
      </c>
      <c r="E10" s="153" t="inlineStr">
        <is>
          <t>Pending ⏳</t>
        </is>
      </c>
      <c r="F10" s="34" t="inlineStr"/>
      <c r="G10" s="160" t="inlineStr"/>
      <c r="H10" s="165" t="inlineStr"/>
    </row>
    <row r="11" ht="55" customHeight="1">
      <c r="A11" s="159" t="inlineStr">
        <is>
          <t>Para vii-a</t>
        </is>
      </c>
      <c r="B11" s="39" t="inlineStr">
        <is>
          <t>Statutory Dues — Regularity</t>
        </is>
      </c>
      <c r="C11" s="40" t="inlineStr">
        <is>
          <t>Whether company is regular in depositing undisputed statutory dues — PF, ESIC, Income Tax, GST, Customs, Excise Duty, Cess, etc. If not, arrears outstanding &gt;6 months from due date.</t>
        </is>
      </c>
      <c r="D11" s="40" t="inlineStr">
        <is>
          <t>Obtain summary of statutory payments; check challans, Form 26QB, GST returns, ESI/PF returns</t>
        </is>
      </c>
      <c r="E11" s="153" t="inlineStr">
        <is>
          <t>Pending ⏳</t>
        </is>
      </c>
      <c r="F11" s="34" t="inlineStr"/>
      <c r="G11" s="160" t="inlineStr"/>
      <c r="H11" s="165" t="inlineStr"/>
    </row>
    <row r="12" ht="55" customHeight="1">
      <c r="A12" s="159" t="inlineStr">
        <is>
          <t>Para vii-b</t>
        </is>
      </c>
      <c r="B12" s="39" t="inlineStr">
        <is>
          <t>Disputed Statutory Dues</t>
        </is>
      </c>
      <c r="C12" s="34" t="inlineStr">
        <is>
          <t>Where dues of Income Tax, GST, Customs, Excise, VAT not deposited due to dispute — amounts and forum.</t>
        </is>
      </c>
      <c r="D12" s="34" t="inlineStr">
        <is>
          <t>Obtain legal matters schedule; verify demand notices; check appeals filed</t>
        </is>
      </c>
      <c r="E12" s="153" t="inlineStr">
        <is>
          <t>Pending ⏳</t>
        </is>
      </c>
      <c r="F12" s="34" t="inlineStr"/>
      <c r="G12" s="160" t="inlineStr"/>
      <c r="H12" s="165" t="inlineStr"/>
    </row>
    <row r="13" ht="55" customHeight="1">
      <c r="A13" s="159" t="inlineStr">
        <is>
          <t>Para viii</t>
        </is>
      </c>
      <c r="B13" s="39" t="inlineStr">
        <is>
          <t>Default in Repayment of Loans</t>
        </is>
      </c>
      <c r="C13" s="40" t="inlineStr">
        <is>
          <t>Whether company has not made loans/borrowings default — banks, FIs, government, debenture holders. Amount and period of default.</t>
        </is>
      </c>
      <c r="D13" s="40" t="inlineStr">
        <is>
          <t>Obtain loan repayment schedule; check bank statements for EMI/interest payments; obtain lender confirmation</t>
        </is>
      </c>
      <c r="E13" s="153" t="inlineStr">
        <is>
          <t>Pending ⏳</t>
        </is>
      </c>
      <c r="F13" s="34" t="inlineStr"/>
      <c r="G13" s="160" t="inlineStr"/>
      <c r="H13" s="165" t="inlineStr"/>
    </row>
    <row r="14" ht="55" customHeight="1">
      <c r="A14" s="159" t="inlineStr">
        <is>
          <t>Para ix-a</t>
        </is>
      </c>
      <c r="B14" s="39" t="inlineStr">
        <is>
          <t>Utilisation of Term Loans</t>
        </is>
      </c>
      <c r="C14" s="34" t="inlineStr">
        <is>
          <t>Whether term loans obtained were applied for the purpose for which they were obtained.</t>
        </is>
      </c>
      <c r="D14" s="34" t="inlineStr">
        <is>
          <t>Review term loan agreements; trace fund flows; verify capital expenditure from term loans</t>
        </is>
      </c>
      <c r="E14" s="153" t="inlineStr">
        <is>
          <t>Pending ⏳</t>
        </is>
      </c>
      <c r="F14" s="34" t="inlineStr"/>
      <c r="G14" s="160" t="inlineStr"/>
      <c r="H14" s="165" t="inlineStr"/>
    </row>
    <row r="15" ht="55" customHeight="1">
      <c r="A15" s="159" t="inlineStr">
        <is>
          <t>Para ix-b</t>
        </is>
      </c>
      <c r="B15" s="39" t="inlineStr">
        <is>
          <t>Funds Raised / Used for Unintended Purposes</t>
        </is>
      </c>
      <c r="C15" s="40" t="inlineStr">
        <is>
          <t>Whether funds raised on short-term basis have been used for long-term investments or vice versa.</t>
        </is>
      </c>
      <c r="D15" s="40" t="inlineStr">
        <is>
          <t>Prepare fund flow statement; review working capital vs long-term asset funding</t>
        </is>
      </c>
      <c r="E15" s="153" t="inlineStr">
        <is>
          <t>Pending ⏳</t>
        </is>
      </c>
      <c r="F15" s="34" t="inlineStr"/>
      <c r="G15" s="160" t="inlineStr"/>
      <c r="H15" s="165" t="inlineStr"/>
    </row>
    <row r="16" ht="55" customHeight="1">
      <c r="A16" s="159" t="inlineStr">
        <is>
          <t>Para ix-c</t>
        </is>
      </c>
      <c r="B16" s="39" t="inlineStr">
        <is>
          <t>Funds Raised via IPO/FPO/Rights Issue</t>
        </is>
      </c>
      <c r="C16" s="34" t="inlineStr">
        <is>
          <t>If company raised money through IPO/FPO/Rights Issue, whether funds used for stated purposes or diverted.</t>
        </is>
      </c>
      <c r="D16" s="34" t="inlineStr">
        <is>
          <t>Review prospectus; trace fund utilisation; check deviation disclosures</t>
        </is>
      </c>
      <c r="E16" s="153" t="inlineStr">
        <is>
          <t>Pending ⏳</t>
        </is>
      </c>
      <c r="F16" s="34" t="inlineStr"/>
      <c r="G16" s="160" t="inlineStr"/>
      <c r="H16" s="165" t="inlineStr"/>
    </row>
    <row r="17" ht="55" customHeight="1">
      <c r="A17" s="159" t="inlineStr">
        <is>
          <t>Para ix-d</t>
        </is>
      </c>
      <c r="B17" s="39" t="inlineStr">
        <is>
          <t>Preferential Allotment / Private Placement</t>
        </is>
      </c>
      <c r="C17" s="40" t="inlineStr">
        <is>
          <t>Whether funds raised through preferential allotment / private placement are used for stated purpose.</t>
        </is>
      </c>
      <c r="D17" s="40" t="inlineStr">
        <is>
          <t>Review board/shareholder resolutions; trace fund utilisation</t>
        </is>
      </c>
      <c r="E17" s="153" t="inlineStr">
        <is>
          <t>Pending ⏳</t>
        </is>
      </c>
      <c r="F17" s="34" t="inlineStr"/>
      <c r="G17" s="160" t="inlineStr"/>
      <c r="H17" s="165" t="inlineStr"/>
    </row>
    <row r="18" ht="55" customHeight="1">
      <c r="A18" s="159" t="inlineStr">
        <is>
          <t>Para x-a</t>
        </is>
      </c>
      <c r="B18" s="39" t="inlineStr">
        <is>
          <t>Fraud by/on the Company</t>
        </is>
      </c>
      <c r="C18" s="34" t="inlineStr">
        <is>
          <t>Whether any fraud by the company or any fraud on the company has been noticed or reported during the year.</t>
        </is>
      </c>
      <c r="D18" s="34" t="inlineStr">
        <is>
          <t>Review management representation letter; review internal audit reports; check whistleblower complaints</t>
        </is>
      </c>
      <c r="E18" s="153" t="inlineStr">
        <is>
          <t>Pending ⏳</t>
        </is>
      </c>
      <c r="F18" s="34" t="inlineStr"/>
      <c r="G18" s="160" t="inlineStr"/>
      <c r="H18" s="165" t="inlineStr"/>
    </row>
    <row r="19" ht="55" customHeight="1">
      <c r="A19" s="159" t="inlineStr">
        <is>
          <t>Para x-b</t>
        </is>
      </c>
      <c r="B19" s="39" t="inlineStr">
        <is>
          <t>Fraud Reports u/s 143(12)</t>
        </is>
      </c>
      <c r="C19" s="40" t="inlineStr">
        <is>
          <t>Whether any report under sub-section (12) of section 143 has been filed by the auditors in Form ADT-4 as prescribed under rule 13 of the Companies (Audit and Auditors) Rules, 2014 with the Central Government.</t>
        </is>
      </c>
      <c r="D19" s="40" t="inlineStr">
        <is>
          <t>Check if any fraud reportable; review prior filings</t>
        </is>
      </c>
      <c r="E19" s="153" t="inlineStr">
        <is>
          <t>Pending ⏳</t>
        </is>
      </c>
      <c r="F19" s="34" t="inlineStr"/>
      <c r="G19" s="160" t="inlineStr"/>
      <c r="H19" s="165" t="inlineStr"/>
    </row>
    <row r="20" ht="55" customHeight="1">
      <c r="A20" s="159" t="inlineStr">
        <is>
          <t>Para xi-a</t>
        </is>
      </c>
      <c r="B20" s="39" t="inlineStr">
        <is>
          <t>Managerial Remuneration</t>
        </is>
      </c>
      <c r="C20" s="34" t="inlineStr">
        <is>
          <t>Whether managerial remuneration has been paid / provided in accordance with the requisite approvals mandated by Sec 197 read with Schedule V.</t>
        </is>
      </c>
      <c r="D20" s="34" t="inlineStr">
        <is>
          <t>Verify MD/WTD remuneration against Sec 197 limits; check Board/Shareholder/CG approval</t>
        </is>
      </c>
      <c r="E20" s="153" t="inlineStr">
        <is>
          <t>Pending ⏳</t>
        </is>
      </c>
      <c r="F20" s="34" t="inlineStr"/>
      <c r="G20" s="160" t="inlineStr"/>
      <c r="H20" s="165" t="inlineStr"/>
    </row>
    <row r="21" ht="55" customHeight="1">
      <c r="A21" s="159" t="inlineStr">
        <is>
          <t>Para xi-b</t>
        </is>
      </c>
      <c r="B21" s="39" t="inlineStr">
        <is>
          <t>Remuneration Excess — Recovery</t>
        </is>
      </c>
      <c r="C21" s="40" t="inlineStr">
        <is>
          <t>If amount paid/provided is in excess of limit — steps taken by company for securing refund.</t>
        </is>
      </c>
      <c r="D21" s="40" t="inlineStr">
        <is>
          <t>Verify if excess paid; check board decision on recovery</t>
        </is>
      </c>
      <c r="E21" s="153" t="inlineStr">
        <is>
          <t>Pending ⏳</t>
        </is>
      </c>
      <c r="F21" s="34" t="inlineStr"/>
      <c r="G21" s="160" t="inlineStr"/>
      <c r="H21" s="165" t="inlineStr"/>
    </row>
    <row r="22" ht="55" customHeight="1">
      <c r="A22" s="159" t="inlineStr">
        <is>
          <t>Para xii</t>
        </is>
      </c>
      <c r="B22" s="39" t="inlineStr">
        <is>
          <t>Nidhi Company</t>
        </is>
      </c>
      <c r="C22" s="34" t="inlineStr">
        <is>
          <t>Whether the Nidhi Company has complied with the Net Owned Funds to Deposits ratio of 1:20, maintains 10% unencumbered term deposits as specified in the Nidhi Rules, 2014.</t>
        </is>
      </c>
      <c r="D22" s="34" t="inlineStr">
        <is>
          <t>If applicable — check NOF ratios, unencumbered deposits</t>
        </is>
      </c>
      <c r="E22" s="153" t="inlineStr">
        <is>
          <t>Pending ⏳</t>
        </is>
      </c>
      <c r="F22" s="34" t="inlineStr"/>
      <c r="G22" s="160" t="inlineStr"/>
      <c r="H22" s="165" t="inlineStr"/>
    </row>
    <row r="23" ht="55" customHeight="1">
      <c r="A23" s="159" t="inlineStr">
        <is>
          <t>Para xiii</t>
        </is>
      </c>
      <c r="B23" s="39" t="inlineStr">
        <is>
          <t>Related Party Transactions</t>
        </is>
      </c>
      <c r="C23" s="40" t="inlineStr">
        <is>
          <t>Whether all transactions with the related parties are in compliance with Sec 177 and 188 and disclosure in FS as required by applicable accounting standards — Ind AS-24 / AS-18.</t>
        </is>
      </c>
      <c r="D23" s="40" t="inlineStr">
        <is>
          <t>Review RPT register; check Audit Committee approvals; review FS disclosures</t>
        </is>
      </c>
      <c r="E23" s="153" t="inlineStr">
        <is>
          <t>Pending ⏳</t>
        </is>
      </c>
      <c r="F23" s="34" t="inlineStr"/>
      <c r="G23" s="160" t="inlineStr"/>
      <c r="H23" s="165" t="inlineStr"/>
    </row>
    <row r="24" ht="55" customHeight="1">
      <c r="A24" s="159" t="inlineStr">
        <is>
          <t>Para xiv-a</t>
        </is>
      </c>
      <c r="B24" s="39" t="inlineStr">
        <is>
          <t>Internal Audit System</t>
        </is>
      </c>
      <c r="C24" s="34" t="inlineStr">
        <is>
          <t>Whether company has an internal audit system commensurate with size and nature of business.</t>
        </is>
      </c>
      <c r="D24" s="34" t="inlineStr">
        <is>
          <t>Review engagement of internal auditor; review scope of internal audit; assess coverage</t>
        </is>
      </c>
      <c r="E24" s="153" t="inlineStr">
        <is>
          <t>Pending ⏳</t>
        </is>
      </c>
      <c r="F24" s="34" t="inlineStr"/>
      <c r="G24" s="160" t="inlineStr"/>
      <c r="H24" s="165" t="inlineStr"/>
    </row>
    <row r="25" ht="55" customHeight="1">
      <c r="A25" s="159" t="inlineStr">
        <is>
          <t>Para xiv-b</t>
        </is>
      </c>
      <c r="B25" s="39" t="inlineStr">
        <is>
          <t>Internal Audit Reports</t>
        </is>
      </c>
      <c r="C25" s="40" t="inlineStr">
        <is>
          <t>Whether internal audit reports for the period under audit have been considered.</t>
        </is>
      </c>
      <c r="D25" s="40" t="inlineStr">
        <is>
          <t>Obtain internal audit reports; note significant findings; consider impact on statutory audit</t>
        </is>
      </c>
      <c r="E25" s="153" t="inlineStr">
        <is>
          <t>Pending ⏳</t>
        </is>
      </c>
      <c r="F25" s="34" t="inlineStr"/>
      <c r="G25" s="160" t="inlineStr"/>
      <c r="H25" s="165" t="inlineStr"/>
    </row>
    <row r="26" ht="55" customHeight="1">
      <c r="A26" s="159" t="inlineStr">
        <is>
          <t>Para xv</t>
        </is>
      </c>
      <c r="B26" s="39" t="inlineStr">
        <is>
          <t>Non-Cash Transactions with Directors</t>
        </is>
      </c>
      <c r="C26" s="34" t="inlineStr">
        <is>
          <t>Whether company has entered into any non-cash transactions with directors / persons connected with them in compliance with Sec 192.</t>
        </is>
      </c>
      <c r="D26" s="34" t="inlineStr">
        <is>
          <t>Review transactions in kind with directors; board resolutions</t>
        </is>
      </c>
      <c r="E26" s="153" t="inlineStr">
        <is>
          <t>Pending ⏳</t>
        </is>
      </c>
      <c r="F26" s="34" t="inlineStr"/>
      <c r="G26" s="160" t="inlineStr"/>
      <c r="H26" s="165" t="inlineStr"/>
    </row>
    <row r="27" ht="55" customHeight="1">
      <c r="A27" s="159" t="inlineStr">
        <is>
          <t>Para xvi-a</t>
        </is>
      </c>
      <c r="B27" s="39" t="inlineStr">
        <is>
          <t>Registration u/s 45-IA of RBI Act</t>
        </is>
      </c>
      <c r="C27" s="40" t="inlineStr">
        <is>
          <t>Whether company is required to be registered under Sec 45-IA of RBI Act 1934, and if so, whether registration obtained.</t>
        </is>
      </c>
      <c r="D27" s="40" t="inlineStr">
        <is>
          <t>Check if company is NBFC; verify Certificate of Registration with RBI</t>
        </is>
      </c>
      <c r="E27" s="153" t="inlineStr">
        <is>
          <t>Pending ⏳</t>
        </is>
      </c>
      <c r="F27" s="34" t="inlineStr"/>
      <c r="G27" s="160" t="inlineStr"/>
      <c r="H27" s="165" t="inlineStr"/>
    </row>
    <row r="28" ht="55" customHeight="1">
      <c r="A28" s="159" t="inlineStr">
        <is>
          <t>Para xvi-b</t>
        </is>
      </c>
      <c r="B28" s="39" t="inlineStr">
        <is>
          <t>Net Owned Fund Requirements</t>
        </is>
      </c>
      <c r="C28" s="34" t="inlineStr">
        <is>
          <t>Whether company has conducted any Net Owned Fund required activities of NBFC not registered with RBI.</t>
        </is>
      </c>
      <c r="D28" s="34" t="inlineStr">
        <is>
          <t>Verify NOF computation</t>
        </is>
      </c>
      <c r="E28" s="153" t="inlineStr">
        <is>
          <t>Pending ⏳</t>
        </is>
      </c>
      <c r="F28" s="34" t="inlineStr"/>
      <c r="G28" s="160" t="inlineStr"/>
      <c r="H28" s="165" t="inlineStr"/>
    </row>
    <row r="29" ht="55" customHeight="1">
      <c r="A29" s="159" t="inlineStr">
        <is>
          <t>Para xvii</t>
        </is>
      </c>
      <c r="B29" s="39" t="inlineStr">
        <is>
          <t>Cash Losses</t>
        </is>
      </c>
      <c r="C29" s="40" t="inlineStr">
        <is>
          <t>Whether company has incurred cash losses in the financial year and in the immediately preceding financial year.</t>
        </is>
      </c>
      <c r="D29" s="40" t="inlineStr">
        <is>
          <t>Prepare cash profit computation; compare with prior year; disclose if cash losses exist</t>
        </is>
      </c>
      <c r="E29" s="153" t="inlineStr">
        <is>
          <t>Pending ⏳</t>
        </is>
      </c>
      <c r="F29" s="34" t="inlineStr"/>
      <c r="G29" s="160" t="inlineStr"/>
      <c r="H29" s="165" t="inlineStr"/>
    </row>
    <row r="30" ht="55" customHeight="1">
      <c r="A30" s="159" t="inlineStr">
        <is>
          <t>Para xviii</t>
        </is>
      </c>
      <c r="B30" s="39" t="inlineStr">
        <is>
          <t>Resignation of Statutory Auditors</t>
        </is>
      </c>
      <c r="C30" s="34" t="inlineStr">
        <is>
          <t>Whether there has been any resignation of the statutory auditors during the year.</t>
        </is>
      </c>
      <c r="D30" s="34" t="inlineStr">
        <is>
          <t>Check for mid-year auditor change; verify Form ADT-3 filing</t>
        </is>
      </c>
      <c r="E30" s="153" t="inlineStr">
        <is>
          <t>Pending ⏳</t>
        </is>
      </c>
      <c r="F30" s="34" t="inlineStr"/>
      <c r="G30" s="160" t="inlineStr"/>
      <c r="H30" s="165" t="inlineStr"/>
    </row>
    <row r="31" ht="55" customHeight="1">
      <c r="A31" s="159" t="inlineStr">
        <is>
          <t>Para xix</t>
        </is>
      </c>
      <c r="B31" s="39" t="inlineStr">
        <is>
          <t>Going Concern</t>
        </is>
      </c>
      <c r="C31" s="40" t="inlineStr">
        <is>
          <t>On basis of FS and other information and explanation given to auditors, whether company is capable of meeting its liabilities within a period of one year from balance sheet date.</t>
        </is>
      </c>
      <c r="D31" s="40" t="inlineStr">
        <is>
          <t>Review current ratio, working capital, profitability trends, order book, management assessment</t>
        </is>
      </c>
      <c r="E31" s="153" t="inlineStr">
        <is>
          <t>Pending ⏳</t>
        </is>
      </c>
      <c r="F31" s="34" t="inlineStr"/>
      <c r="G31" s="160" t="inlineStr"/>
      <c r="H31" s="165" t="inlineStr"/>
    </row>
    <row r="32" ht="55" customHeight="1">
      <c r="A32" s="159" t="inlineStr">
        <is>
          <t>Para xx-a</t>
        </is>
      </c>
      <c r="B32" s="39" t="inlineStr">
        <is>
          <t>Unspent CSR Amount</t>
        </is>
      </c>
      <c r="C32" s="34" t="inlineStr">
        <is>
          <t>Whether there are any unspent amounts under CSR requirement of Sec 135 and if so, whether requisite amount transferred to specified fund.</t>
        </is>
      </c>
      <c r="D32" s="34" t="inlineStr">
        <is>
          <t>Verify CSR obligation computation; actual spend; unspent transfer to PM CARES/specified fund</t>
        </is>
      </c>
      <c r="E32" s="153" t="inlineStr">
        <is>
          <t>Pending ⏳</t>
        </is>
      </c>
      <c r="F32" s="34" t="inlineStr"/>
      <c r="G32" s="160" t="inlineStr"/>
      <c r="H32" s="165" t="inlineStr"/>
    </row>
    <row r="33" ht="55" customHeight="1">
      <c r="A33" s="159" t="inlineStr">
        <is>
          <t>Para xx-b</t>
        </is>
      </c>
      <c r="B33" s="39" t="inlineStr">
        <is>
          <t>CSR Spending Compliance</t>
        </is>
      </c>
      <c r="C33" s="40" t="inlineStr">
        <is>
          <t>Whether CSR expenditure amount incurred as per Sec 135 provisions complied with — Board approved and reasons for non-compliance.</t>
        </is>
      </c>
      <c r="D33" s="40" t="inlineStr">
        <is>
          <t>Verify CSR policy; Board/CSR Committee reports; actual vs mandatory spend</t>
        </is>
      </c>
      <c r="E33" s="153" t="inlineStr">
        <is>
          <t>Pending ⏳</t>
        </is>
      </c>
      <c r="F33" s="34" t="inlineStr"/>
      <c r="G33" s="160" t="inlineStr"/>
      <c r="H33" s="165" t="inlineStr"/>
    </row>
    <row r="34" ht="55" customHeight="1">
      <c r="A34" s="159" t="inlineStr">
        <is>
          <t>Para xxi</t>
        </is>
      </c>
      <c r="B34" s="39" t="inlineStr">
        <is>
          <t>Qualifications in Group Auditor Report</t>
        </is>
      </c>
      <c r="C34" s="34" t="inlineStr">
        <is>
          <t>Whether there are any qualifications or adverse remarks by the respective auditors in standalone FS of subsidiary, associate, joint venture companies.</t>
        </is>
      </c>
      <c r="D34" s="34" t="inlineStr">
        <is>
          <t>Obtain audit reports of all group entities; note any qualifications</t>
        </is>
      </c>
      <c r="E34" s="153" t="inlineStr">
        <is>
          <t>Pending ⏳</t>
        </is>
      </c>
      <c r="F34" s="34" t="inlineStr"/>
      <c r="G34" s="160" t="inlineStr"/>
      <c r="H34" s="165" t="inlineStr"/>
    </row>
  </sheetData>
  <mergeCells count="2">
    <mergeCell ref="A2:H2"/>
    <mergeCell ref="A1:H1"/>
  </mergeCells>
  <dataValidations count="2">
    <dataValidation sqref="E5:E35" showDropDown="0" showInputMessage="0" showErrorMessage="0" allowBlank="1" type="list">
      <formula1>"Done ✅,In Progress 🔄,Pending ⏳,N/A ➖,Refer Partner ⚠️"</formula1>
    </dataValidation>
    <dataValidation sqref="G5:G35" showDropDown="0" showInputMessage="0" showErrorMessage="0" allowBlank="1" type="list">
      <formula1>"Favourable,Unfavourable,N/A,Qualified"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2" customWidth="1" min="2" max="2"/>
    <col width="40" customWidth="1" min="3" max="3"/>
    <col width="35" customWidth="1" min="4" max="4"/>
    <col width="15" customWidth="1" min="5" max="5"/>
    <col width="10" customWidth="1" min="6" max="6"/>
    <col width="13" customWidth="1" min="7" max="7"/>
    <col width="12" customWidth="1" min="8" max="8"/>
    <col width="22" customWidth="1" min="9" max="9"/>
  </cols>
  <sheetData>
    <row r="1">
      <c r="A1" s="30" t="inlineStr">
        <is>
          <t>FORM 3CD — TAX AUDIT REPORT CHECKLIST (SECTION 44AB)  |  A.Y. 2026-27 / FY 2025-26</t>
        </is>
      </c>
    </row>
    <row r="2">
      <c r="A2" s="31" t="inlineStr">
        <is>
          <t>All 44 clauses of Form 3CD to be verified and completed. Reference the Guidance Note on Tax Audit (ICAI).</t>
        </is>
      </c>
    </row>
    <row r="4">
      <c r="A4" s="22" t="inlineStr">
        <is>
          <t>Clause</t>
        </is>
      </c>
      <c r="B4" s="22" t="inlineStr">
        <is>
          <t>Particulars</t>
        </is>
      </c>
      <c r="C4" s="22" t="inlineStr">
        <is>
          <t>Details to be furnished / Computed</t>
        </is>
      </c>
      <c r="D4" s="22" t="inlineStr">
        <is>
          <t>Audit Procedure</t>
        </is>
      </c>
      <c r="E4" s="22" t="inlineStr">
        <is>
          <t>Amount / Response</t>
        </is>
      </c>
      <c r="F4" s="22" t="inlineStr">
        <is>
          <t>WP Ref</t>
        </is>
      </c>
      <c r="G4" s="22" t="inlineStr">
        <is>
          <t>Status</t>
        </is>
      </c>
      <c r="H4" s="22" t="inlineStr">
        <is>
          <t>Reviewed By</t>
        </is>
      </c>
      <c r="I4" s="22" t="inlineStr">
        <is>
          <t>Remarks</t>
        </is>
      </c>
    </row>
    <row r="5" ht="50" customHeight="1">
      <c r="A5" s="159" t="inlineStr">
        <is>
          <t>Cl. 1</t>
        </is>
      </c>
      <c r="B5" s="39" t="inlineStr">
        <is>
          <t>Name of Assessee</t>
        </is>
      </c>
      <c r="C5" s="40" t="inlineStr">
        <is>
          <t>Full legal name as per PAN records</t>
        </is>
      </c>
      <c r="D5" s="40" t="inlineStr">
        <is>
          <t>Verify with PAN card / TRACES</t>
        </is>
      </c>
      <c r="E5" s="154" t="inlineStr"/>
      <c r="F5" s="165" t="inlineStr"/>
      <c r="G5" s="153" t="inlineStr">
        <is>
          <t>Pending ⏳</t>
        </is>
      </c>
      <c r="H5" s="165" t="inlineStr"/>
      <c r="I5" s="34" t="inlineStr"/>
    </row>
    <row r="6" ht="50" customHeight="1">
      <c r="A6" s="159" t="inlineStr">
        <is>
          <t>Cl. 2</t>
        </is>
      </c>
      <c r="B6" s="39" t="inlineStr">
        <is>
          <t>Address</t>
        </is>
      </c>
      <c r="C6" s="34" t="inlineStr">
        <is>
          <t>Registered and principal place of business</t>
        </is>
      </c>
      <c r="D6" s="34" t="inlineStr">
        <is>
          <t>Verify with ROC records</t>
        </is>
      </c>
      <c r="E6" s="154" t="inlineStr"/>
      <c r="F6" s="165" t="inlineStr"/>
      <c r="G6" s="153" t="inlineStr">
        <is>
          <t>Pending ⏳</t>
        </is>
      </c>
      <c r="H6" s="165" t="inlineStr"/>
      <c r="I6" s="34" t="inlineStr"/>
    </row>
    <row r="7" ht="50" customHeight="1">
      <c r="A7" s="159" t="inlineStr">
        <is>
          <t>Cl. 3</t>
        </is>
      </c>
      <c r="B7" s="39" t="inlineStr">
        <is>
          <t>PAN</t>
        </is>
      </c>
      <c r="C7" s="40" t="inlineStr">
        <is>
          <t>Permanent Account Number</t>
        </is>
      </c>
      <c r="D7" s="40" t="inlineStr">
        <is>
          <t>Verify from TRACES / Form 26AS</t>
        </is>
      </c>
      <c r="E7" s="154" t="inlineStr"/>
      <c r="F7" s="165" t="inlineStr"/>
      <c r="G7" s="153" t="inlineStr">
        <is>
          <t>Pending ⏳</t>
        </is>
      </c>
      <c r="H7" s="165" t="inlineStr"/>
      <c r="I7" s="34" t="inlineStr"/>
    </row>
    <row r="8" ht="50" customHeight="1">
      <c r="A8" s="159" t="inlineStr">
        <is>
          <t>Cl. 4</t>
        </is>
      </c>
      <c r="B8" s="39" t="inlineStr">
        <is>
          <t>Whether the assessee is liable to pay indirect tax (GST/Customs/Excise)</t>
        </is>
      </c>
      <c r="C8" s="34" t="inlineStr">
        <is>
          <t>Yes/No — specify registration details</t>
        </is>
      </c>
      <c r="D8" s="34" t="inlineStr">
        <is>
          <t>Check GST registration certificates</t>
        </is>
      </c>
      <c r="E8" s="154" t="inlineStr"/>
      <c r="F8" s="165" t="inlineStr"/>
      <c r="G8" s="153" t="inlineStr">
        <is>
          <t>Pending ⏳</t>
        </is>
      </c>
      <c r="H8" s="165" t="inlineStr"/>
      <c r="I8" s="34" t="inlineStr"/>
    </row>
    <row r="9" ht="50" customHeight="1">
      <c r="A9" s="159" t="inlineStr">
        <is>
          <t>Cl. 5</t>
        </is>
      </c>
      <c r="B9" s="39" t="inlineStr">
        <is>
          <t>Name and description of principal products / services</t>
        </is>
      </c>
      <c r="C9" s="40" t="inlineStr">
        <is>
          <t>HSN/SAC codes, nature of business</t>
        </is>
      </c>
      <c r="D9" s="40" t="inlineStr">
        <is>
          <t>Review GST returns, financial statements</t>
        </is>
      </c>
      <c r="E9" s="154" t="inlineStr"/>
      <c r="F9" s="165" t="inlineStr"/>
      <c r="G9" s="153" t="inlineStr">
        <is>
          <t>Pending ⏳</t>
        </is>
      </c>
      <c r="H9" s="165" t="inlineStr"/>
      <c r="I9" s="34" t="inlineStr"/>
    </row>
    <row r="10" ht="50" customHeight="1">
      <c r="A10" s="159" t="inlineStr">
        <is>
          <t>Cl. 6</t>
        </is>
      </c>
      <c r="B10" s="39" t="inlineStr">
        <is>
          <t>Books of account prescribed under Sec 44AA maintained</t>
        </is>
      </c>
      <c r="C10" s="34" t="inlineStr">
        <is>
          <t>List of books maintained — Cash book, Ledger, Journal, etc.</t>
        </is>
      </c>
      <c r="D10" s="34" t="inlineStr">
        <is>
          <t>Physically verify books; inspect accounting software</t>
        </is>
      </c>
      <c r="E10" s="154" t="inlineStr"/>
      <c r="F10" s="165" t="inlineStr"/>
      <c r="G10" s="153" t="inlineStr">
        <is>
          <t>Pending ⏳</t>
        </is>
      </c>
      <c r="H10" s="165" t="inlineStr"/>
      <c r="I10" s="34" t="inlineStr"/>
    </row>
    <row r="11" ht="50" customHeight="1">
      <c r="A11" s="159" t="inlineStr">
        <is>
          <t>Cl. 7</t>
        </is>
      </c>
      <c r="B11" s="39" t="inlineStr">
        <is>
          <t>List of books examined by Tax Auditor</t>
        </is>
      </c>
      <c r="C11" s="40" t="inlineStr">
        <is>
          <t>Specify books examined and location</t>
        </is>
      </c>
      <c r="D11" s="40" t="inlineStr">
        <is>
          <t>Document books reviewed during audit</t>
        </is>
      </c>
      <c r="E11" s="154" t="inlineStr"/>
      <c r="F11" s="165" t="inlineStr"/>
      <c r="G11" s="153" t="inlineStr">
        <is>
          <t>Pending ⏳</t>
        </is>
      </c>
      <c r="H11" s="165" t="inlineStr"/>
      <c r="I11" s="34" t="inlineStr"/>
    </row>
    <row r="12" ht="50" customHeight="1">
      <c r="A12" s="159" t="inlineStr">
        <is>
          <t>Cl. 8</t>
        </is>
      </c>
      <c r="B12" s="39" t="inlineStr">
        <is>
          <t>Nature of information relating to quantitative detail not maintained</t>
        </is>
      </c>
      <c r="C12" s="34" t="inlineStr">
        <is>
          <t>Specify if quantitative details not maintained</t>
        </is>
      </c>
      <c r="D12" s="34" t="inlineStr">
        <is>
          <t>Review inventory records</t>
        </is>
      </c>
      <c r="E12" s="154" t="inlineStr"/>
      <c r="F12" s="165" t="inlineStr"/>
      <c r="G12" s="153" t="inlineStr">
        <is>
          <t>Pending ⏳</t>
        </is>
      </c>
      <c r="H12" s="165" t="inlineStr"/>
      <c r="I12" s="34" t="inlineStr"/>
    </row>
    <row r="13" ht="50" customHeight="1">
      <c r="A13" s="159" t="inlineStr">
        <is>
          <t>Cl. 9</t>
        </is>
      </c>
      <c r="B13" s="39" t="inlineStr">
        <is>
          <t>Method of accounting (Sec 145)</t>
        </is>
      </c>
      <c r="C13" s="40" t="inlineStr">
        <is>
          <t>Mercantile or Cash — consistency check</t>
        </is>
      </c>
      <c r="D13" s="40" t="inlineStr">
        <is>
          <t>Verify method and consistency with prior year</t>
        </is>
      </c>
      <c r="E13" s="154" t="inlineStr"/>
      <c r="F13" s="165" t="inlineStr"/>
      <c r="G13" s="153" t="inlineStr">
        <is>
          <t>Pending ⏳</t>
        </is>
      </c>
      <c r="H13" s="165" t="inlineStr"/>
      <c r="I13" s="34" t="inlineStr"/>
    </row>
    <row r="14" ht="50" customHeight="1">
      <c r="A14" s="159" t="inlineStr">
        <is>
          <t>Cl. 10</t>
        </is>
      </c>
      <c r="B14" s="39" t="inlineStr">
        <is>
          <t>Change in method of accounting</t>
        </is>
      </c>
      <c r="C14" s="34" t="inlineStr">
        <is>
          <t>Details of change if any — old method, new method, effect on P&amp;L</t>
        </is>
      </c>
      <c r="D14" s="34" t="inlineStr">
        <is>
          <t>Check accounting policy note; prior year treatment</t>
        </is>
      </c>
      <c r="E14" s="154" t="inlineStr"/>
      <c r="F14" s="165" t="inlineStr"/>
      <c r="G14" s="153" t="inlineStr">
        <is>
          <t>Pending ⏳</t>
        </is>
      </c>
      <c r="H14" s="165" t="inlineStr"/>
      <c r="I14" s="34" t="inlineStr"/>
    </row>
    <row r="15" ht="50" customHeight="1">
      <c r="A15" s="159" t="inlineStr">
        <is>
          <t>Cl. 11</t>
        </is>
      </c>
      <c r="B15" s="39" t="inlineStr">
        <is>
          <t>Change in stock valuation method</t>
        </is>
      </c>
      <c r="C15" s="40" t="inlineStr">
        <is>
          <t>Old and new method; quantify effect on profit</t>
        </is>
      </c>
      <c r="D15" s="40" t="inlineStr">
        <is>
          <t>Review inventory policy note; prior year auditor's report</t>
        </is>
      </c>
      <c r="E15" s="154" t="inlineStr"/>
      <c r="F15" s="165" t="inlineStr"/>
      <c r="G15" s="153" t="inlineStr">
        <is>
          <t>Pending ⏳</t>
        </is>
      </c>
      <c r="H15" s="165" t="inlineStr"/>
      <c r="I15" s="34" t="inlineStr"/>
    </row>
    <row r="16" ht="50" customHeight="1">
      <c r="A16" s="159" t="inlineStr">
        <is>
          <t>Cl. 12</t>
        </is>
      </c>
      <c r="B16" s="39" t="inlineStr">
        <is>
          <t>Turnover / Gross Receipts</t>
        </is>
      </c>
      <c r="C16" s="34" t="inlineStr">
        <is>
          <t>Business turnover and professional receipts separately for 44AB applicability</t>
        </is>
      </c>
      <c r="D16" s="34" t="inlineStr">
        <is>
          <t>Reconcile with P&amp;L and GST returns (GSTR-1/3B)</t>
        </is>
      </c>
      <c r="E16" s="154" t="inlineStr"/>
      <c r="F16" s="165" t="inlineStr"/>
      <c r="G16" s="153" t="inlineStr">
        <is>
          <t>Pending ⏳</t>
        </is>
      </c>
      <c r="H16" s="165" t="inlineStr"/>
      <c r="I16" s="34" t="inlineStr"/>
    </row>
    <row r="17" ht="50" customHeight="1">
      <c r="A17" s="159" t="inlineStr">
        <is>
          <t>Cl. 13</t>
        </is>
      </c>
      <c r="B17" s="39" t="inlineStr">
        <is>
          <t>Profits / gains from business — presumptive taxation (44AD/44ADA/44AE/44BB/44BBB)</t>
        </is>
      </c>
      <c r="C17" s="40" t="inlineStr">
        <is>
          <t>Whether any income under presumptive scheme — specify</t>
        </is>
      </c>
      <c r="D17" s="40" t="inlineStr">
        <is>
          <t>Check applicability of each section</t>
        </is>
      </c>
      <c r="E17" s="154" t="inlineStr"/>
      <c r="F17" s="165" t="inlineStr"/>
      <c r="G17" s="153" t="inlineStr">
        <is>
          <t>Pending ⏳</t>
        </is>
      </c>
      <c r="H17" s="165" t="inlineStr"/>
      <c r="I17" s="34" t="inlineStr"/>
    </row>
    <row r="18" ht="50" customHeight="1">
      <c r="A18" s="159" t="inlineStr">
        <is>
          <t>Cl. 14</t>
        </is>
      </c>
      <c r="B18" s="39" t="inlineStr">
        <is>
          <t>Gross turnover / receipts not exceeding ₹5 crore (44AB proviso)</t>
        </is>
      </c>
      <c r="C18" s="34" t="inlineStr">
        <is>
          <t>Verify digital receipts/payments threshold compliance</t>
        </is>
      </c>
      <c r="D18" s="34" t="inlineStr">
        <is>
          <t>Cash receipt and payment analysis from bank statements</t>
        </is>
      </c>
      <c r="E18" s="154" t="inlineStr"/>
      <c r="F18" s="165" t="inlineStr"/>
      <c r="G18" s="153" t="inlineStr">
        <is>
          <t>Pending ⏳</t>
        </is>
      </c>
      <c r="H18" s="165" t="inlineStr"/>
      <c r="I18" s="34" t="inlineStr"/>
    </row>
    <row r="19" ht="50" customHeight="1">
      <c r="A19" s="159" t="inlineStr">
        <is>
          <t>Cl. 15</t>
        </is>
      </c>
      <c r="B19" s="39" t="inlineStr">
        <is>
          <t>Partners / members of firm / AOP / HUF</t>
        </is>
      </c>
      <c r="C19" s="40" t="inlineStr">
        <is>
          <t>Names, addresses, profit sharing ratio, capital introduced/withdrawn</t>
        </is>
      </c>
      <c r="D19" s="40" t="inlineStr">
        <is>
          <t>Verify from partnership deed / MOA / resolution</t>
        </is>
      </c>
      <c r="E19" s="154" t="inlineStr"/>
      <c r="F19" s="165" t="inlineStr"/>
      <c r="G19" s="153" t="inlineStr">
        <is>
          <t>Pending ⏳</t>
        </is>
      </c>
      <c r="H19" s="165" t="inlineStr"/>
      <c r="I19" s="34" t="inlineStr"/>
    </row>
    <row r="20" ht="50" customHeight="1">
      <c r="A20" s="159" t="inlineStr">
        <is>
          <t>Cl. 16</t>
        </is>
      </c>
      <c r="B20" s="39" t="inlineStr">
        <is>
          <t>Related party transactions (Sec 40A(2))</t>
        </is>
      </c>
      <c r="C20" s="34" t="inlineStr">
        <is>
          <t>Persons specified u/s 40A(2)(b) — transactions; amounts; effect on profit</t>
        </is>
      </c>
      <c r="D20" s="34" t="inlineStr">
        <is>
          <t>Review RPT register; compare market prices</t>
        </is>
      </c>
      <c r="E20" s="154" t="inlineStr"/>
      <c r="F20" s="165" t="inlineStr"/>
      <c r="G20" s="153" t="inlineStr">
        <is>
          <t>Pending ⏳</t>
        </is>
      </c>
      <c r="H20" s="165" t="inlineStr"/>
      <c r="I20" s="34" t="inlineStr"/>
    </row>
    <row r="21" ht="50" customHeight="1">
      <c r="A21" s="159" t="inlineStr">
        <is>
          <t>Cl. 17</t>
        </is>
      </c>
      <c r="B21" s="39" t="inlineStr">
        <is>
          <t>Payments not deductible u/s 40(a)</t>
        </is>
      </c>
      <c r="C21" s="40" t="inlineStr">
        <is>
          <t>TDS default, disallowance computation</t>
        </is>
      </c>
      <c r="D21" s="40" t="inlineStr">
        <is>
          <t>Review Form 26Q/27Q; check TDS deductions and deposits</t>
        </is>
      </c>
      <c r="E21" s="154" t="inlineStr"/>
      <c r="F21" s="165" t="inlineStr"/>
      <c r="G21" s="153" t="inlineStr">
        <is>
          <t>Pending ⏳</t>
        </is>
      </c>
      <c r="H21" s="165" t="inlineStr"/>
      <c r="I21" s="34" t="inlineStr"/>
    </row>
    <row r="22" ht="50" customHeight="1">
      <c r="A22" s="159" t="inlineStr">
        <is>
          <t>Cl. 18</t>
        </is>
      </c>
      <c r="B22" s="39" t="inlineStr">
        <is>
          <t>Amounts not deductible u/s 40A(3) — cash payments &gt;₹10,000</t>
        </is>
      </c>
      <c r="C22" s="34" t="inlineStr">
        <is>
          <t>Cash payments exceeding ₹10,000 to single party per day</t>
        </is>
      </c>
      <c r="D22" s="34" t="inlineStr">
        <is>
          <t>Review cash vouchers; identify payments &gt;₹10K; compute disallowance</t>
        </is>
      </c>
      <c r="E22" s="154" t="inlineStr"/>
      <c r="F22" s="165" t="inlineStr"/>
      <c r="G22" s="153" t="inlineStr">
        <is>
          <t>Pending ⏳</t>
        </is>
      </c>
      <c r="H22" s="165" t="inlineStr"/>
      <c r="I22" s="34" t="inlineStr"/>
    </row>
    <row r="23" ht="50" customHeight="1">
      <c r="A23" s="159" t="inlineStr">
        <is>
          <t>Cl. 19</t>
        </is>
      </c>
      <c r="B23" s="39" t="inlineStr">
        <is>
          <t>Amounts not deductible u/s 40A(3A) — cash payments for prior year expenses</t>
        </is>
      </c>
      <c r="C23" s="40" t="inlineStr">
        <is>
          <t>Cash payments during year for expenses of earlier year</t>
        </is>
      </c>
      <c r="D23" s="40" t="inlineStr">
        <is>
          <t>Review prior period creditors discharged by cash</t>
        </is>
      </c>
      <c r="E23" s="154" t="inlineStr"/>
      <c r="F23" s="165" t="inlineStr"/>
      <c r="G23" s="153" t="inlineStr">
        <is>
          <t>Pending ⏳</t>
        </is>
      </c>
      <c r="H23" s="165" t="inlineStr"/>
      <c r="I23" s="34" t="inlineStr"/>
    </row>
    <row r="24" ht="50" customHeight="1">
      <c r="A24" s="159" t="inlineStr">
        <is>
          <t>Cl. 20</t>
        </is>
      </c>
      <c r="B24" s="39" t="inlineStr">
        <is>
          <t>Deduction claimed u/s 33AB (Tea/Coffee/Rubber Development), 33ABA (Petroleum), 35 (Scientific Research)</t>
        </is>
      </c>
      <c r="C24" s="34" t="inlineStr">
        <is>
          <t>Amounts deposited / paid; deduction claimed</t>
        </is>
      </c>
      <c r="D24" s="34" t="inlineStr">
        <is>
          <t>Verify deposits; check Form 10DA / approval from prescribed authority</t>
        </is>
      </c>
      <c r="E24" s="154" t="inlineStr"/>
      <c r="F24" s="165" t="inlineStr"/>
      <c r="G24" s="153" t="inlineStr">
        <is>
          <t>Pending ⏳</t>
        </is>
      </c>
      <c r="H24" s="165" t="inlineStr"/>
      <c r="I24" s="34" t="inlineStr"/>
    </row>
    <row r="25" ht="50" customHeight="1">
      <c r="A25" s="159" t="inlineStr">
        <is>
          <t>Cl. 21</t>
        </is>
      </c>
      <c r="B25" s="39" t="inlineStr">
        <is>
          <t>MODVAT / CENVAT / GST credit — opening balance</t>
        </is>
      </c>
      <c r="C25" s="40" t="inlineStr">
        <is>
          <t>MODVAT credit taken in earlier years; GST ITC opening balance</t>
        </is>
      </c>
      <c r="D25" s="40" t="inlineStr">
        <is>
          <t>Verify from GST portal — Electronic Credit Ledger</t>
        </is>
      </c>
      <c r="E25" s="154" t="inlineStr"/>
      <c r="F25" s="165" t="inlineStr"/>
      <c r="G25" s="153" t="inlineStr">
        <is>
          <t>Pending ⏳</t>
        </is>
      </c>
      <c r="H25" s="165" t="inlineStr"/>
      <c r="I25" s="34" t="inlineStr"/>
    </row>
    <row r="26" ht="50" customHeight="1">
      <c r="A26" s="159" t="inlineStr">
        <is>
          <t>Cl. 22</t>
        </is>
      </c>
      <c r="B26" s="39" t="inlineStr">
        <is>
          <t>Deduction u/s 32AC / 32AD / 33AB / 33ABA — percentage of net profit</t>
        </is>
      </c>
      <c r="C26" s="34" t="inlineStr">
        <is>
          <t>Applicable deductions and computation</t>
        </is>
      </c>
      <c r="D26" s="34" t="inlineStr">
        <is>
          <t>Verify assets purchased / installed; percentage computation</t>
        </is>
      </c>
      <c r="E26" s="154" t="inlineStr"/>
      <c r="F26" s="165" t="inlineStr"/>
      <c r="G26" s="153" t="inlineStr">
        <is>
          <t>Pending ⏳</t>
        </is>
      </c>
      <c r="H26" s="165" t="inlineStr"/>
      <c r="I26" s="34" t="inlineStr"/>
    </row>
    <row r="27" ht="50" customHeight="1">
      <c r="A27" s="159" t="inlineStr">
        <is>
          <t>Cl. 23</t>
        </is>
      </c>
      <c r="B27" s="39" t="inlineStr">
        <is>
          <t>Payments made to persons specified in Sec 40A(2)(b) — expenses</t>
        </is>
      </c>
      <c r="C27" s="40" t="inlineStr">
        <is>
          <t>Amount paid to relatives/associates and whether at market value</t>
        </is>
      </c>
      <c r="D27" s="40" t="inlineStr">
        <is>
          <t>Review RPT transactions; test arm's length</t>
        </is>
      </c>
      <c r="E27" s="154" t="inlineStr"/>
      <c r="F27" s="165" t="inlineStr"/>
      <c r="G27" s="153" t="inlineStr">
        <is>
          <t>Pending ⏳</t>
        </is>
      </c>
      <c r="H27" s="165" t="inlineStr"/>
      <c r="I27" s="34" t="inlineStr"/>
    </row>
    <row r="28" ht="50" customHeight="1">
      <c r="A28" s="159" t="inlineStr">
        <is>
          <t>Cl. 24</t>
        </is>
      </c>
      <c r="B28" s="39" t="inlineStr">
        <is>
          <t>Amounts deemed as profits u/s 41</t>
        </is>
      </c>
      <c r="C28" s="34" t="inlineStr">
        <is>
          <t>Recovery of bad debts, capital subsidy, remission of liability — taxable under Sec 41</t>
        </is>
      </c>
      <c r="D28" s="34" t="inlineStr">
        <is>
          <t>Review creditors written off, subsidy received, dormant liabilities</t>
        </is>
      </c>
      <c r="E28" s="154" t="inlineStr"/>
      <c r="F28" s="165" t="inlineStr"/>
      <c r="G28" s="153" t="inlineStr">
        <is>
          <t>Pending ⏳</t>
        </is>
      </c>
      <c r="H28" s="165" t="inlineStr"/>
      <c r="I28" s="34" t="inlineStr"/>
    </row>
    <row r="29" ht="50" customHeight="1">
      <c r="A29" s="159" t="inlineStr">
        <is>
          <t>Cl. 25</t>
        </is>
      </c>
      <c r="B29" s="39" t="inlineStr">
        <is>
          <t>Speculation loss / deemed speculation loss u/s 43(5)</t>
        </is>
      </c>
      <c r="C29" s="40" t="inlineStr">
        <is>
          <t>Transactions falling under speculation — contracts settled without delivery</t>
        </is>
      </c>
      <c r="D29" s="40" t="inlineStr">
        <is>
          <t>Review F&amp;O / commodity trading; check settlement modes</t>
        </is>
      </c>
      <c r="E29" s="154" t="inlineStr"/>
      <c r="F29" s="165" t="inlineStr"/>
      <c r="G29" s="153" t="inlineStr">
        <is>
          <t>Pending ⏳</t>
        </is>
      </c>
      <c r="H29" s="165" t="inlineStr"/>
      <c r="I29" s="34" t="inlineStr"/>
    </row>
    <row r="30" ht="50" customHeight="1">
      <c r="A30" s="159" t="inlineStr">
        <is>
          <t>Cl. 26</t>
        </is>
      </c>
      <c r="B30" s="39" t="inlineStr">
        <is>
          <t>Section 43B — Deductions only on actual payment</t>
        </is>
      </c>
      <c r="C30" s="34" t="inlineStr">
        <is>
          <t>Tax, duty, cess, PF/ESI, bonus, interest on loans — paid before due date of ITR</t>
        </is>
      </c>
      <c r="D30" s="34" t="inlineStr">
        <is>
          <t>Verify payment challans; compare due dates; compute disallowance</t>
        </is>
      </c>
      <c r="E30" s="154" t="inlineStr"/>
      <c r="F30" s="165" t="inlineStr"/>
      <c r="G30" s="153" t="inlineStr">
        <is>
          <t>Pending ⏳</t>
        </is>
      </c>
      <c r="H30" s="165" t="inlineStr"/>
      <c r="I30" s="34" t="inlineStr"/>
    </row>
    <row r="31" ht="50" customHeight="1">
      <c r="A31" s="159" t="inlineStr">
        <is>
          <t>Cl. 27</t>
        </is>
      </c>
      <c r="B31" s="39" t="inlineStr">
        <is>
          <t>Details of CENVAT / GST credit / customs duty drawback (Sec 145A)</t>
        </is>
      </c>
      <c r="C31" s="40" t="inlineStr">
        <is>
          <t>Adjustments required for GST/Customs in closing stock, purchases, sales</t>
        </is>
      </c>
      <c r="D31" s="40" t="inlineStr">
        <is>
          <t>Prepare Sec 145A working; adjust for GST in inventory</t>
        </is>
      </c>
      <c r="E31" s="154" t="inlineStr"/>
      <c r="F31" s="165" t="inlineStr"/>
      <c r="G31" s="153" t="inlineStr">
        <is>
          <t>Pending ⏳</t>
        </is>
      </c>
      <c r="H31" s="165" t="inlineStr"/>
      <c r="I31" s="34" t="inlineStr"/>
    </row>
    <row r="32" ht="50" customHeight="1">
      <c r="A32" s="159" t="inlineStr">
        <is>
          <t>Cl. 28</t>
        </is>
      </c>
      <c r="B32" s="39" t="inlineStr">
        <is>
          <t>Whether assessee is required to deduct TDS and has done so</t>
        </is>
      </c>
      <c r="C32" s="34" t="inlineStr">
        <is>
          <t>All payments subject to TDS — verify deduction and deposit</t>
        </is>
      </c>
      <c r="D32" s="34" t="inlineStr">
        <is>
          <t>Review TDS workings; match with Form 26Q/27Q/TRACES; check 26AS</t>
        </is>
      </c>
      <c r="E32" s="154" t="inlineStr"/>
      <c r="F32" s="165" t="inlineStr"/>
      <c r="G32" s="153" t="inlineStr">
        <is>
          <t>Pending ⏳</t>
        </is>
      </c>
      <c r="H32" s="165" t="inlineStr"/>
      <c r="I32" s="34" t="inlineStr"/>
    </row>
    <row r="33" ht="50" customHeight="1">
      <c r="A33" s="159" t="inlineStr">
        <is>
          <t>Cl. 29</t>
        </is>
      </c>
      <c r="B33" s="39" t="inlineStr">
        <is>
          <t>Whether 194A / 194B / 194BA / 194C / 194D / 194G / 194H / 194-I / 194-IA / 194-IB / 194J / 194LA / 194LB / 194LBC / 194M / 194N / 194O / 195 / 206C applicable</t>
        </is>
      </c>
      <c r="C33" s="40" t="inlineStr">
        <is>
          <t>List of payments; TDS rate applied; amounts deducted and deposited</t>
        </is>
      </c>
      <c r="D33" s="40" t="inlineStr">
        <is>
          <t>Review all contract payments, professional fees, rent, commission, interest</t>
        </is>
      </c>
      <c r="E33" s="154" t="inlineStr"/>
      <c r="F33" s="165" t="inlineStr"/>
      <c r="G33" s="153" t="inlineStr">
        <is>
          <t>Pending ⏳</t>
        </is>
      </c>
      <c r="H33" s="165" t="inlineStr"/>
      <c r="I33" s="34" t="inlineStr"/>
    </row>
    <row r="34" ht="50" customHeight="1">
      <c r="A34" s="159" t="inlineStr">
        <is>
          <t>Cl. 30</t>
        </is>
      </c>
      <c r="B34" s="39" t="inlineStr">
        <is>
          <t>Whether Sec 269SS complied with — receipt of loan/deposit/specified sum</t>
        </is>
      </c>
      <c r="C34" s="34" t="inlineStr">
        <is>
          <t>Receipt of loan/deposit &gt;₹20,000 — mode of receipt — only account payee</t>
        </is>
      </c>
      <c r="D34" s="34" t="inlineStr">
        <is>
          <t>Review cash receipts register; loan entries; identify violations</t>
        </is>
      </c>
      <c r="E34" s="154" t="inlineStr"/>
      <c r="F34" s="165" t="inlineStr"/>
      <c r="G34" s="153" t="inlineStr">
        <is>
          <t>Pending ⏳</t>
        </is>
      </c>
      <c r="H34" s="165" t="inlineStr"/>
      <c r="I34" s="34" t="inlineStr"/>
    </row>
    <row r="35" ht="50" customHeight="1">
      <c r="A35" s="159" t="inlineStr">
        <is>
          <t>Cl. 31</t>
        </is>
      </c>
      <c r="B35" s="39" t="inlineStr">
        <is>
          <t>Whether Sec 269T complied with — repayment of loan/deposit/specified sum</t>
        </is>
      </c>
      <c r="C35" s="40" t="inlineStr">
        <is>
          <t>Repayment &gt;₹20,000 only by account payee — check compliance</t>
        </is>
      </c>
      <c r="D35" s="40" t="inlineStr">
        <is>
          <t>Review cash payments register; loan repayments; identify violations</t>
        </is>
      </c>
      <c r="E35" s="154" t="inlineStr"/>
      <c r="F35" s="165" t="inlineStr"/>
      <c r="G35" s="153" t="inlineStr">
        <is>
          <t>Pending ⏳</t>
        </is>
      </c>
      <c r="H35" s="165" t="inlineStr"/>
      <c r="I35" s="34" t="inlineStr"/>
    </row>
    <row r="36" ht="50" customHeight="1">
      <c r="A36" s="159" t="inlineStr">
        <is>
          <t>Cl. 32</t>
        </is>
      </c>
      <c r="B36" s="39" t="inlineStr">
        <is>
          <t>Details of brought forward losses</t>
        </is>
      </c>
      <c r="C36" s="34" t="inlineStr">
        <is>
          <t>Year-wise losses brought forward — nature, amount</t>
        </is>
      </c>
      <c r="D36" s="34" t="inlineStr">
        <is>
          <t>Review prior year ITRs; verify DPCO order if applicable</t>
        </is>
      </c>
      <c r="E36" s="154" t="inlineStr"/>
      <c r="F36" s="165" t="inlineStr"/>
      <c r="G36" s="153" t="inlineStr">
        <is>
          <t>Pending ⏳</t>
        </is>
      </c>
      <c r="H36" s="165" t="inlineStr"/>
      <c r="I36" s="34" t="inlineStr"/>
    </row>
    <row r="37" ht="50" customHeight="1">
      <c r="A37" s="159" t="inlineStr">
        <is>
          <t>Cl. 33</t>
        </is>
      </c>
      <c r="B37" s="39" t="inlineStr">
        <is>
          <t>Deductions u/s 80G — donations paid</t>
        </is>
      </c>
      <c r="C37" s="40" t="inlineStr">
        <is>
          <t>Donations to approved funds/institutions; certificates obtained</t>
        </is>
      </c>
      <c r="D37" s="40" t="inlineStr">
        <is>
          <t>Verify receipts from donees; check registration u/s 80G</t>
        </is>
      </c>
      <c r="E37" s="154" t="inlineStr"/>
      <c r="F37" s="165" t="inlineStr"/>
      <c r="G37" s="153" t="inlineStr">
        <is>
          <t>Pending ⏳</t>
        </is>
      </c>
      <c r="H37" s="165" t="inlineStr"/>
      <c r="I37" s="34" t="inlineStr"/>
    </row>
    <row r="38" ht="50" customHeight="1">
      <c r="A38" s="159" t="inlineStr">
        <is>
          <t>Cl. 34</t>
        </is>
      </c>
      <c r="B38" s="39" t="inlineStr">
        <is>
          <t>Deductions u/s 80GGB / 80GGC — political contributions</t>
        </is>
      </c>
      <c r="C38" s="34" t="inlineStr">
        <is>
          <t>Contributions to political parties</t>
        </is>
      </c>
      <c r="D38" s="34" t="inlineStr">
        <is>
          <t>Verify receipts; check payment mode (not cash)</t>
        </is>
      </c>
      <c r="E38" s="154" t="inlineStr"/>
      <c r="F38" s="165" t="inlineStr"/>
      <c r="G38" s="153" t="inlineStr">
        <is>
          <t>Pending ⏳</t>
        </is>
      </c>
      <c r="H38" s="165" t="inlineStr"/>
      <c r="I38" s="34" t="inlineStr"/>
    </row>
    <row r="39" ht="50" customHeight="1">
      <c r="A39" s="159" t="inlineStr">
        <is>
          <t>Cl. 35</t>
        </is>
      </c>
      <c r="B39" s="39" t="inlineStr">
        <is>
          <t>Whether audit u/s 80-IA(7) / 80-IB / 80-IC/IE required</t>
        </is>
      </c>
      <c r="C39" s="40" t="inlineStr">
        <is>
          <t>Specify whether any deduction under chapter VI-A claimed — sectional audit</t>
        </is>
      </c>
      <c r="D39" s="40" t="inlineStr">
        <is>
          <t>Verify sectional audit requirements; obtain sectional audit report if needed</t>
        </is>
      </c>
      <c r="E39" s="154" t="inlineStr"/>
      <c r="F39" s="165" t="inlineStr"/>
      <c r="G39" s="153" t="inlineStr">
        <is>
          <t>Pending ⏳</t>
        </is>
      </c>
      <c r="H39" s="165" t="inlineStr"/>
      <c r="I39" s="34" t="inlineStr"/>
    </row>
    <row r="40" ht="50" customHeight="1">
      <c r="A40" s="159" t="inlineStr">
        <is>
          <t>Cl. 36</t>
        </is>
      </c>
      <c r="B40" s="39" t="inlineStr">
        <is>
          <t>Details of audit report u/s 92E (Transfer Pricing) — if applicable</t>
        </is>
      </c>
      <c r="C40" s="34" t="inlineStr">
        <is>
          <t>Whether Form 3CEB filed for international/specified domestic transactions</t>
        </is>
      </c>
      <c r="D40" s="34" t="inlineStr">
        <is>
          <t>Check if threshold crossed; verify TP report and benchmarking</t>
        </is>
      </c>
      <c r="E40" s="154" t="inlineStr"/>
      <c r="F40" s="165" t="inlineStr"/>
      <c r="G40" s="153" t="inlineStr">
        <is>
          <t>Pending ⏳</t>
        </is>
      </c>
      <c r="H40" s="165" t="inlineStr"/>
      <c r="I40" s="34" t="inlineStr"/>
    </row>
    <row r="41" ht="50" customHeight="1">
      <c r="A41" s="159" t="inlineStr">
        <is>
          <t>Cl. 37</t>
        </is>
      </c>
      <c r="B41" s="39" t="inlineStr">
        <is>
          <t>Break-up of payments/receipts in foreign currency</t>
        </is>
      </c>
      <c r="C41" s="40" t="inlineStr">
        <is>
          <t>Receipts and payments in foreign currency — clause-wise</t>
        </is>
      </c>
      <c r="D41" s="40" t="inlineStr">
        <is>
          <t>Review FIRC / bank credit advices; payment vouchers in foreign currency</t>
        </is>
      </c>
      <c r="E41" s="154" t="inlineStr"/>
      <c r="F41" s="165" t="inlineStr"/>
      <c r="G41" s="153" t="inlineStr">
        <is>
          <t>Pending ⏳</t>
        </is>
      </c>
      <c r="H41" s="165" t="inlineStr"/>
      <c r="I41" s="34" t="inlineStr"/>
    </row>
    <row r="42" ht="50" customHeight="1">
      <c r="A42" s="159" t="inlineStr">
        <is>
          <t>Cl. 38</t>
        </is>
      </c>
      <c r="B42" s="39" t="inlineStr">
        <is>
          <t>Quantitative details of principal items of goods traded/manufactured</t>
        </is>
      </c>
      <c r="C42" s="34" t="inlineStr">
        <is>
          <t>Opening stock, purchases, sales, closing stock — quantity and value</t>
        </is>
      </c>
      <c r="D42" s="34" t="inlineStr">
        <is>
          <t>Reconcile with books; check RG-1, production records</t>
        </is>
      </c>
      <c r="E42" s="154" t="inlineStr"/>
      <c r="F42" s="165" t="inlineStr"/>
      <c r="G42" s="153" t="inlineStr">
        <is>
          <t>Pending ⏳</t>
        </is>
      </c>
      <c r="H42" s="165" t="inlineStr"/>
      <c r="I42" s="34" t="inlineStr"/>
    </row>
    <row r="43" ht="50" customHeight="1">
      <c r="A43" s="159" t="inlineStr">
        <is>
          <t>Cl. 39</t>
        </is>
      </c>
      <c r="B43" s="39" t="inlineStr">
        <is>
          <t>Whether cost audit under Sec 148 carried out</t>
        </is>
      </c>
      <c r="C43" s="40" t="inlineStr">
        <is>
          <t>Details of cost auditor; cost audit report findings</t>
        </is>
      </c>
      <c r="D43" s="40" t="inlineStr">
        <is>
          <t>Obtain cost audit report if applicable; review major findings</t>
        </is>
      </c>
      <c r="E43" s="154" t="inlineStr"/>
      <c r="F43" s="165" t="inlineStr"/>
      <c r="G43" s="153" t="inlineStr">
        <is>
          <t>Pending ⏳</t>
        </is>
      </c>
      <c r="H43" s="165" t="inlineStr"/>
      <c r="I43" s="34" t="inlineStr"/>
    </row>
    <row r="44" ht="50" customHeight="1">
      <c r="A44" s="159" t="inlineStr">
        <is>
          <t>Cl. 40</t>
        </is>
      </c>
      <c r="B44" s="39" t="inlineStr">
        <is>
          <t>Whether any audit conducted under Sec 72A — for amalgamation/demerger benefit</t>
        </is>
      </c>
      <c r="C44" s="34" t="inlineStr">
        <is>
          <t>Details of audit under Sec 72A</t>
        </is>
      </c>
      <c r="D44" s="34" t="inlineStr">
        <is>
          <t>Verify NCLT order; confirm scheme compliance</t>
        </is>
      </c>
      <c r="E44" s="154" t="inlineStr"/>
      <c r="F44" s="165" t="inlineStr"/>
      <c r="G44" s="153" t="inlineStr">
        <is>
          <t>Pending ⏳</t>
        </is>
      </c>
      <c r="H44" s="165" t="inlineStr"/>
      <c r="I44" s="34" t="inlineStr"/>
    </row>
    <row r="45" ht="50" customHeight="1">
      <c r="A45" s="159" t="inlineStr">
        <is>
          <t>Cl. 41</t>
        </is>
      </c>
      <c r="B45" s="39" t="inlineStr">
        <is>
          <t>Details of demand raised or refund issued during previous year</t>
        </is>
      </c>
      <c r="C45" s="40" t="inlineStr">
        <is>
          <t>Income tax / other direct taxes — demand notice or refund order</t>
        </is>
      </c>
      <c r="D45" s="40" t="inlineStr">
        <is>
          <t>Review assessment orders; verify from Form 26AS; check demand register</t>
        </is>
      </c>
      <c r="E45" s="154" t="inlineStr"/>
      <c r="F45" s="165" t="inlineStr"/>
      <c r="G45" s="153" t="inlineStr">
        <is>
          <t>Pending ⏳</t>
        </is>
      </c>
      <c r="H45" s="165" t="inlineStr"/>
      <c r="I45" s="34" t="inlineStr"/>
    </row>
    <row r="46" ht="50" customHeight="1">
      <c r="A46" s="159" t="inlineStr">
        <is>
          <t>Cl. 42</t>
        </is>
      </c>
      <c r="B46" s="39" t="inlineStr">
        <is>
          <t>Whether trading in crypto / VDA during the year (Sec 115BBH)</t>
        </is>
      </c>
      <c r="C46" s="34" t="inlineStr">
        <is>
          <t>Details of VDA transactions — purchase, sale, gain/loss; TDS u/s 194S</t>
        </is>
      </c>
      <c r="D46" s="34" t="inlineStr">
        <is>
          <t>Review bank statements; crypto exchange statements; TDS deduction u/s 194S</t>
        </is>
      </c>
      <c r="E46" s="154" t="inlineStr"/>
      <c r="F46" s="165" t="inlineStr"/>
      <c r="G46" s="153" t="inlineStr">
        <is>
          <t>Pending ⏳</t>
        </is>
      </c>
      <c r="H46" s="165" t="inlineStr"/>
      <c r="I46" s="34" t="inlineStr"/>
    </row>
    <row r="47" ht="50" customHeight="1">
      <c r="A47" s="159" t="inlineStr">
        <is>
          <t>Cl. 43</t>
        </is>
      </c>
      <c r="B47" s="39" t="inlineStr">
        <is>
          <t>Details of deductions claimed under chapter VIA</t>
        </is>
      </c>
      <c r="C47" s="40" t="inlineStr">
        <is>
          <t>80C, 80D, 80E, 80G, 80IA, 80IB, 80IC, 80JJAA, 80P etc.</t>
        </is>
      </c>
      <c r="D47" s="40" t="inlineStr">
        <is>
          <t>Verify each deduction with supporting evidence; check conditions</t>
        </is>
      </c>
      <c r="E47" s="154" t="inlineStr"/>
      <c r="F47" s="165" t="inlineStr"/>
      <c r="G47" s="153" t="inlineStr">
        <is>
          <t>Pending ⏳</t>
        </is>
      </c>
      <c r="H47" s="165" t="inlineStr"/>
      <c r="I47" s="34" t="inlineStr"/>
    </row>
    <row r="48" ht="50" customHeight="1">
      <c r="A48" s="159" t="inlineStr">
        <is>
          <t>Cl. 44</t>
        </is>
      </c>
      <c r="B48" s="39" t="inlineStr">
        <is>
          <t>GST Compliance</t>
        </is>
      </c>
      <c r="C48" s="34" t="inlineStr">
        <is>
          <t>Audit Clauses on GST — whether GST properly discharged on all taxable supplies; ITC correctly availed; reconciliation of GSTR-1 with books; GSTR-2A vs 2B vs books; e-invoicing compliance</t>
        </is>
      </c>
      <c r="D48" s="34" t="inlineStr">
        <is>
          <t>Full GST reconciliation — GSTR-9/9C if applicable; ITC reversal computation</t>
        </is>
      </c>
      <c r="E48" s="154" t="inlineStr"/>
      <c r="F48" s="165" t="inlineStr"/>
      <c r="G48" s="153" t="inlineStr">
        <is>
          <t>Pending ⏳</t>
        </is>
      </c>
      <c r="H48" s="165" t="inlineStr"/>
      <c r="I48" s="34" t="inlineStr"/>
    </row>
  </sheetData>
  <mergeCells count="2">
    <mergeCell ref="A1:I1"/>
    <mergeCell ref="A2:I2"/>
  </mergeCells>
  <dataValidations count="1">
    <dataValidation sqref="G5:G49" showDropDown="0" showInputMessage="0" showErrorMessage="0" allowBlank="1" type="list">
      <formula1>"Done ✅,In Progress 🔄,Pending ⏳,N/A ➖,Refer Partner ⚠️"</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32" customWidth="1" min="1" max="1"/>
    <col width="18" customWidth="1" min="2" max="2"/>
    <col width="15" customWidth="1" min="3" max="3"/>
    <col width="15" customWidth="1" min="4" max="4"/>
    <col width="12" customWidth="1" min="5" max="5"/>
    <col width="18" customWidth="1" min="6" max="6"/>
    <col width="14" customWidth="1" min="7" max="7"/>
    <col width="25" customWidth="1" min="8" max="8"/>
  </cols>
  <sheetData>
    <row r="1">
      <c r="A1" s="30" t="inlineStr">
        <is>
          <t>ANALYTICAL REVIEW &amp; FINANCIAL ANALYSIS  |  FY 2025-26 vs FY 2024-25</t>
        </is>
      </c>
    </row>
    <row r="3">
      <c r="A3" s="2" t="inlineStr">
        <is>
          <t>A. PROFIT &amp; LOSS — YEAR-ON-YEAR COMPARISON (₹ in Lakhs)</t>
        </is>
      </c>
    </row>
    <row r="4">
      <c r="A4" s="22" t="inlineStr">
        <is>
          <t>Particulars</t>
        </is>
      </c>
      <c r="B4" s="22" t="inlineStr">
        <is>
          <t>FY 2024-25 (Actual)</t>
        </is>
      </c>
      <c r="C4" s="22" t="inlineStr">
        <is>
          <t>FY 2025-26 (Current)</t>
        </is>
      </c>
      <c r="D4" s="22" t="inlineStr">
        <is>
          <t>Variance (₹)</t>
        </is>
      </c>
      <c r="E4" s="22" t="inlineStr">
        <is>
          <t>Variance (%)</t>
        </is>
      </c>
      <c r="F4" s="22" t="inlineStr">
        <is>
          <t>Expected %</t>
        </is>
      </c>
      <c r="G4" s="22" t="inlineStr">
        <is>
          <t>Within Range?</t>
        </is>
      </c>
      <c r="H4" s="22" t="inlineStr">
        <is>
          <t>Remarks</t>
        </is>
      </c>
    </row>
    <row r="5">
      <c r="A5" s="179" t="inlineStr">
        <is>
          <t>Revenue from Operations</t>
        </is>
      </c>
      <c r="B5" s="181" t="n">
        <v>0</v>
      </c>
      <c r="C5" s="181" t="n">
        <v>0</v>
      </c>
      <c r="D5" s="43">
        <f>C5-B5</f>
        <v/>
      </c>
      <c r="E5" s="180">
        <f>IF(B5=0,"N/A",TEXT((C5-B5)/ABS(B5),"0.0%"))</f>
        <v/>
      </c>
      <c r="F5" s="25" t="inlineStr"/>
      <c r="G5" s="44" t="inlineStr"/>
      <c r="H5" s="45" t="inlineStr"/>
    </row>
    <row r="6">
      <c r="A6" s="179" t="inlineStr">
        <is>
          <t>Other Income</t>
        </is>
      </c>
      <c r="B6" s="181" t="n">
        <v>0</v>
      </c>
      <c r="C6" s="181" t="n">
        <v>0</v>
      </c>
      <c r="D6" s="43">
        <f>C6-B6</f>
        <v/>
      </c>
      <c r="E6" s="180">
        <f>IF(B6=0,"N/A",TEXT((C6-B6)/ABS(B6),"0.0%"))</f>
        <v/>
      </c>
      <c r="F6" s="25" t="inlineStr"/>
      <c r="G6" s="44" t="inlineStr"/>
      <c r="H6" s="45" t="inlineStr"/>
    </row>
    <row r="7">
      <c r="A7" s="182" t="inlineStr">
        <is>
          <t>Total Income</t>
        </is>
      </c>
      <c r="B7" s="181" t="n">
        <v>0</v>
      </c>
      <c r="C7" s="181" t="n">
        <v>0</v>
      </c>
      <c r="D7" s="46">
        <f>C7-B7</f>
        <v/>
      </c>
      <c r="E7" s="180">
        <f>IF(B7=0,"N/A",TEXT((C7-B7)/ABS(B7),"0.0%"))</f>
        <v/>
      </c>
      <c r="F7" s="25" t="inlineStr"/>
      <c r="G7" s="44" t="inlineStr"/>
      <c r="H7" s="45" t="inlineStr"/>
    </row>
    <row r="8">
      <c r="A8" s="179" t="inlineStr">
        <is>
          <t>Cost of Materials Consumed</t>
        </is>
      </c>
      <c r="B8" s="181" t="n">
        <v>0</v>
      </c>
      <c r="C8" s="181" t="n">
        <v>0</v>
      </c>
      <c r="D8" s="43">
        <f>C8-B8</f>
        <v/>
      </c>
      <c r="E8" s="180">
        <f>IF(B8=0,"N/A",TEXT((C8-B8)/ABS(B8),"0.0%"))</f>
        <v/>
      </c>
      <c r="F8" s="25" t="inlineStr"/>
      <c r="G8" s="44" t="inlineStr"/>
      <c r="H8" s="45" t="inlineStr"/>
    </row>
    <row r="9">
      <c r="A9" s="179" t="inlineStr">
        <is>
          <t>Purchase of Stock-in-Trade</t>
        </is>
      </c>
      <c r="B9" s="181" t="n">
        <v>0</v>
      </c>
      <c r="C9" s="181" t="n">
        <v>0</v>
      </c>
      <c r="D9" s="43">
        <f>C9-B9</f>
        <v/>
      </c>
      <c r="E9" s="180">
        <f>IF(B9=0,"N/A",TEXT((C9-B9)/ABS(B9),"0.0%"))</f>
        <v/>
      </c>
      <c r="F9" s="25" t="inlineStr"/>
      <c r="G9" s="44" t="inlineStr"/>
      <c r="H9" s="45" t="inlineStr"/>
    </row>
    <row r="10">
      <c r="A10" s="179" t="inlineStr">
        <is>
          <t>Changes in Inventories</t>
        </is>
      </c>
      <c r="B10" s="181" t="n">
        <v>0</v>
      </c>
      <c r="C10" s="181" t="n">
        <v>0</v>
      </c>
      <c r="D10" s="43">
        <f>C10-B10</f>
        <v/>
      </c>
      <c r="E10" s="180">
        <f>IF(B10=0,"N/A",TEXT((C10-B10)/ABS(B10),"0.0%"))</f>
        <v/>
      </c>
      <c r="F10" s="25" t="inlineStr"/>
      <c r="G10" s="44" t="inlineStr"/>
      <c r="H10" s="45" t="inlineStr"/>
    </row>
    <row r="11">
      <c r="A11" s="179" t="inlineStr">
        <is>
          <t>Employee Benefit Expenses</t>
        </is>
      </c>
      <c r="B11" s="181" t="n">
        <v>0</v>
      </c>
      <c r="C11" s="181" t="n">
        <v>0</v>
      </c>
      <c r="D11" s="43">
        <f>C11-B11</f>
        <v/>
      </c>
      <c r="E11" s="180">
        <f>IF(B11=0,"N/A",TEXT((C11-B11)/ABS(B11),"0.0%"))</f>
        <v/>
      </c>
      <c r="F11" s="25" t="inlineStr"/>
      <c r="G11" s="44" t="inlineStr"/>
      <c r="H11" s="45" t="inlineStr"/>
    </row>
    <row r="12">
      <c r="A12" s="179" t="inlineStr">
        <is>
          <t>Finance Costs</t>
        </is>
      </c>
      <c r="B12" s="181" t="n">
        <v>0</v>
      </c>
      <c r="C12" s="181" t="n">
        <v>0</v>
      </c>
      <c r="D12" s="43">
        <f>C12-B12</f>
        <v/>
      </c>
      <c r="E12" s="180">
        <f>IF(B12=0,"N/A",TEXT((C12-B12)/ABS(B12),"0.0%"))</f>
        <v/>
      </c>
      <c r="F12" s="25" t="inlineStr"/>
      <c r="G12" s="44" t="inlineStr"/>
      <c r="H12" s="45" t="inlineStr"/>
    </row>
    <row r="13">
      <c r="A13" s="179" t="inlineStr">
        <is>
          <t>Depreciation &amp; Amortisation</t>
        </is>
      </c>
      <c r="B13" s="181" t="n">
        <v>0</v>
      </c>
      <c r="C13" s="181" t="n">
        <v>0</v>
      </c>
      <c r="D13" s="43">
        <f>C13-B13</f>
        <v/>
      </c>
      <c r="E13" s="180">
        <f>IF(B13=0,"N/A",TEXT((C13-B13)/ABS(B13),"0.0%"))</f>
        <v/>
      </c>
      <c r="F13" s="25" t="inlineStr"/>
      <c r="G13" s="44" t="inlineStr"/>
      <c r="H13" s="45" t="inlineStr"/>
    </row>
    <row r="14">
      <c r="A14" s="179" t="inlineStr">
        <is>
          <t>Other Expenses</t>
        </is>
      </c>
      <c r="B14" s="181" t="n">
        <v>0</v>
      </c>
      <c r="C14" s="181" t="n">
        <v>0</v>
      </c>
      <c r="D14" s="43">
        <f>C14-B14</f>
        <v/>
      </c>
      <c r="E14" s="180">
        <f>IF(B14=0,"N/A",TEXT((C14-B14)/ABS(B14),"0.0%"))</f>
        <v/>
      </c>
      <c r="F14" s="25" t="inlineStr"/>
      <c r="G14" s="44" t="inlineStr"/>
      <c r="H14" s="45" t="inlineStr"/>
    </row>
    <row r="15">
      <c r="A15" s="182" t="inlineStr">
        <is>
          <t>Total Expenses</t>
        </is>
      </c>
      <c r="B15" s="181" t="n">
        <v>0</v>
      </c>
      <c r="C15" s="181" t="n">
        <v>0</v>
      </c>
      <c r="D15" s="46">
        <f>C15-B15</f>
        <v/>
      </c>
      <c r="E15" s="180">
        <f>IF(B15=0,"N/A",TEXT((C15-B15)/ABS(B15),"0.0%"))</f>
        <v/>
      </c>
      <c r="F15" s="25" t="inlineStr"/>
      <c r="G15" s="44" t="inlineStr"/>
      <c r="H15" s="45" t="inlineStr"/>
    </row>
    <row r="16">
      <c r="A16" s="179" t="inlineStr">
        <is>
          <t>Profit Before Exceptional Items &amp; Tax</t>
        </is>
      </c>
      <c r="B16" s="181" t="n">
        <v>0</v>
      </c>
      <c r="C16" s="181" t="n">
        <v>0</v>
      </c>
      <c r="D16" s="43">
        <f>C16-B16</f>
        <v/>
      </c>
      <c r="E16" s="180">
        <f>IF(B16=0,"N/A",TEXT((C16-B16)/ABS(B16),"0.0%"))</f>
        <v/>
      </c>
      <c r="F16" s="25" t="inlineStr"/>
      <c r="G16" s="44" t="inlineStr"/>
      <c r="H16" s="45" t="inlineStr"/>
    </row>
    <row r="17">
      <c r="A17" s="179" t="inlineStr">
        <is>
          <t>Exceptional Items</t>
        </is>
      </c>
      <c r="B17" s="181" t="n">
        <v>0</v>
      </c>
      <c r="C17" s="181" t="n">
        <v>0</v>
      </c>
      <c r="D17" s="43">
        <f>C17-B17</f>
        <v/>
      </c>
      <c r="E17" s="180">
        <f>IF(B17=0,"N/A",TEXT((C17-B17)/ABS(B17),"0.0%"))</f>
        <v/>
      </c>
      <c r="F17" s="25" t="inlineStr"/>
      <c r="G17" s="44" t="inlineStr"/>
      <c r="H17" s="45" t="inlineStr"/>
    </row>
    <row r="18">
      <c r="A18" s="182" t="inlineStr">
        <is>
          <t>Profit Before Tax (PBT)</t>
        </is>
      </c>
      <c r="B18" s="181" t="n">
        <v>0</v>
      </c>
      <c r="C18" s="181" t="n">
        <v>0</v>
      </c>
      <c r="D18" s="46">
        <f>C18-B18</f>
        <v/>
      </c>
      <c r="E18" s="180">
        <f>IF(B18=0,"N/A",TEXT((C18-B18)/ABS(B18),"0.0%"))</f>
        <v/>
      </c>
      <c r="F18" s="25" t="inlineStr"/>
      <c r="G18" s="44" t="inlineStr"/>
      <c r="H18" s="45" t="inlineStr"/>
    </row>
    <row r="19">
      <c r="A19" s="179" t="inlineStr">
        <is>
          <t>Tax Expense — Current Tax</t>
        </is>
      </c>
      <c r="B19" s="181" t="n">
        <v>0</v>
      </c>
      <c r="C19" s="181" t="n">
        <v>0</v>
      </c>
      <c r="D19" s="43">
        <f>C19-B19</f>
        <v/>
      </c>
      <c r="E19" s="180">
        <f>IF(B19=0,"N/A",TEXT((C19-B19)/ABS(B19),"0.0%"))</f>
        <v/>
      </c>
      <c r="F19" s="25" t="inlineStr"/>
      <c r="G19" s="44" t="inlineStr"/>
      <c r="H19" s="45" t="inlineStr"/>
    </row>
    <row r="20">
      <c r="A20" s="179" t="inlineStr">
        <is>
          <t>Tax Expense — Deferred Tax</t>
        </is>
      </c>
      <c r="B20" s="181" t="n">
        <v>0</v>
      </c>
      <c r="C20" s="181" t="n">
        <v>0</v>
      </c>
      <c r="D20" s="43">
        <f>C20-B20</f>
        <v/>
      </c>
      <c r="E20" s="180">
        <f>IF(B20=0,"N/A",TEXT((C20-B20)/ABS(B20),"0.0%"))</f>
        <v/>
      </c>
      <c r="F20" s="25" t="inlineStr"/>
      <c r="G20" s="44" t="inlineStr"/>
      <c r="H20" s="45" t="inlineStr"/>
    </row>
    <row r="21">
      <c r="A21" s="182" t="inlineStr">
        <is>
          <t>Profit After Tax (PAT)</t>
        </is>
      </c>
      <c r="B21" s="181" t="n">
        <v>0</v>
      </c>
      <c r="C21" s="181" t="n">
        <v>0</v>
      </c>
      <c r="D21" s="46">
        <f>C21-B21</f>
        <v/>
      </c>
      <c r="E21" s="180">
        <f>IF(B21=0,"N/A",TEXT((C21-B21)/ABS(B21),"0.0%"))</f>
        <v/>
      </c>
      <c r="F21" s="25" t="inlineStr"/>
      <c r="G21" s="44" t="inlineStr"/>
      <c r="H21" s="45" t="inlineStr"/>
    </row>
    <row r="22">
      <c r="A22" s="179" t="inlineStr">
        <is>
          <t>OCI (if Ind AS)</t>
        </is>
      </c>
      <c r="B22" s="181" t="n">
        <v>0</v>
      </c>
      <c r="C22" s="181" t="n">
        <v>0</v>
      </c>
      <c r="D22" s="43">
        <f>C22-B22</f>
        <v/>
      </c>
      <c r="E22" s="180">
        <f>IF(B22=0,"N/A",TEXT((C22-B22)/ABS(B22),"0.0%"))</f>
        <v/>
      </c>
      <c r="F22" s="25" t="inlineStr"/>
      <c r="G22" s="44" t="inlineStr"/>
      <c r="H22" s="45" t="inlineStr"/>
    </row>
    <row r="23">
      <c r="A23" s="179" t="inlineStr">
        <is>
          <t>Total Comprehensive Income</t>
        </is>
      </c>
      <c r="B23" s="181" t="n">
        <v>0</v>
      </c>
      <c r="C23" s="181" t="n">
        <v>0</v>
      </c>
      <c r="D23" s="43">
        <f>C23-B23</f>
        <v/>
      </c>
      <c r="E23" s="180">
        <f>IF(B23=0,"N/A",TEXT((C23-B23)/ABS(B23),"0.0%"))</f>
        <v/>
      </c>
      <c r="F23" s="25" t="inlineStr"/>
      <c r="G23" s="44" t="inlineStr"/>
      <c r="H23" s="45" t="inlineStr"/>
    </row>
    <row r="25">
      <c r="A25" s="2" t="inlineStr">
        <is>
          <t>B. BALANCE SHEET — KEY LINE ITEMS (₹ in Lakhs)</t>
        </is>
      </c>
    </row>
    <row r="26">
      <c r="A26" s="22" t="inlineStr">
        <is>
          <t>Particulars</t>
        </is>
      </c>
      <c r="B26" s="22" t="inlineStr">
        <is>
          <t>FY 2024-25 (Actual)</t>
        </is>
      </c>
      <c r="C26" s="22" t="inlineStr">
        <is>
          <t>FY 2025-26 (Current)</t>
        </is>
      </c>
      <c r="D26" s="22" t="inlineStr">
        <is>
          <t>Variance (₹)</t>
        </is>
      </c>
      <c r="E26" s="22" t="inlineStr">
        <is>
          <t>Variance (%)</t>
        </is>
      </c>
      <c r="F26" s="22" t="inlineStr">
        <is>
          <t>Expected %</t>
        </is>
      </c>
      <c r="G26" s="22" t="inlineStr">
        <is>
          <t>Within Range?</t>
        </is>
      </c>
      <c r="H26" s="22" t="inlineStr">
        <is>
          <t>Remarks</t>
        </is>
      </c>
    </row>
    <row r="27">
      <c r="A27" s="179" t="inlineStr">
        <is>
          <t>Equity Share Capital</t>
        </is>
      </c>
      <c r="B27" s="181" t="n">
        <v>0</v>
      </c>
      <c r="C27" s="181" t="n">
        <v>0</v>
      </c>
      <c r="D27" s="43">
        <f>C27-B27</f>
        <v/>
      </c>
      <c r="E27" s="180">
        <f>IF(B27=0,"N/A",TEXT((C27-B27)/ABS(B27),"0.0%"))</f>
        <v/>
      </c>
      <c r="F27" s="25" t="inlineStr"/>
      <c r="G27" s="44" t="inlineStr"/>
      <c r="H27" s="45" t="inlineStr"/>
    </row>
    <row r="28">
      <c r="A28" s="179" t="inlineStr">
        <is>
          <t>Other Equity (Reserves &amp; Surplus)</t>
        </is>
      </c>
      <c r="B28" s="181" t="n">
        <v>0</v>
      </c>
      <c r="C28" s="181" t="n">
        <v>0</v>
      </c>
      <c r="D28" s="43">
        <f>C28-B28</f>
        <v/>
      </c>
      <c r="E28" s="180">
        <f>IF(B28=0,"N/A",TEXT((C28-B28)/ABS(B28),"0.0%"))</f>
        <v/>
      </c>
      <c r="F28" s="25" t="inlineStr"/>
      <c r="G28" s="44" t="inlineStr"/>
      <c r="H28" s="45" t="inlineStr"/>
    </row>
    <row r="29">
      <c r="A29" s="182" t="inlineStr">
        <is>
          <t>Total Equity</t>
        </is>
      </c>
      <c r="B29" s="181" t="n">
        <v>0</v>
      </c>
      <c r="C29" s="181" t="n">
        <v>0</v>
      </c>
      <c r="D29" s="46">
        <f>C29-B29</f>
        <v/>
      </c>
      <c r="E29" s="180">
        <f>IF(B29=0,"N/A",TEXT((C29-B29)/ABS(B29),"0.0%"))</f>
        <v/>
      </c>
      <c r="F29" s="25" t="inlineStr"/>
      <c r="G29" s="44" t="inlineStr"/>
      <c r="H29" s="45" t="inlineStr"/>
    </row>
    <row r="30">
      <c r="A30" s="179" t="inlineStr">
        <is>
          <t>Non-Current Borrowings</t>
        </is>
      </c>
      <c r="B30" s="181" t="n">
        <v>0</v>
      </c>
      <c r="C30" s="181" t="n">
        <v>0</v>
      </c>
      <c r="D30" s="43">
        <f>C30-B30</f>
        <v/>
      </c>
      <c r="E30" s="180">
        <f>IF(B30=0,"N/A",TEXT((C30-B30)/ABS(B30),"0.0%"))</f>
        <v/>
      </c>
      <c r="F30" s="25" t="inlineStr"/>
      <c r="G30" s="44" t="inlineStr"/>
      <c r="H30" s="45" t="inlineStr"/>
    </row>
    <row r="31">
      <c r="A31" s="179" t="inlineStr">
        <is>
          <t>Current Borrowings</t>
        </is>
      </c>
      <c r="B31" s="181" t="n">
        <v>0</v>
      </c>
      <c r="C31" s="181" t="n">
        <v>0</v>
      </c>
      <c r="D31" s="43">
        <f>C31-B31</f>
        <v/>
      </c>
      <c r="E31" s="180">
        <f>IF(B31=0,"N/A",TEXT((C31-B31)/ABS(B31),"0.0%"))</f>
        <v/>
      </c>
      <c r="F31" s="25" t="inlineStr"/>
      <c r="G31" s="44" t="inlineStr"/>
      <c r="H31" s="45" t="inlineStr"/>
    </row>
    <row r="32">
      <c r="A32" s="179" t="inlineStr">
        <is>
          <t>Trade Payables (MSME)</t>
        </is>
      </c>
      <c r="B32" s="181" t="n">
        <v>0</v>
      </c>
      <c r="C32" s="181" t="n">
        <v>0</v>
      </c>
      <c r="D32" s="43">
        <f>C32-B32</f>
        <v/>
      </c>
      <c r="E32" s="180">
        <f>IF(B32=0,"N/A",TEXT((C32-B32)/ABS(B32),"0.0%"))</f>
        <v/>
      </c>
      <c r="F32" s="25" t="inlineStr"/>
      <c r="G32" s="44" t="inlineStr"/>
      <c r="H32" s="45" t="inlineStr"/>
    </row>
    <row r="33">
      <c r="A33" s="179" t="inlineStr">
        <is>
          <t>Trade Payables (Others)</t>
        </is>
      </c>
      <c r="B33" s="181" t="n">
        <v>0</v>
      </c>
      <c r="C33" s="181" t="n">
        <v>0</v>
      </c>
      <c r="D33" s="43">
        <f>C33-B33</f>
        <v/>
      </c>
      <c r="E33" s="180">
        <f>IF(B33=0,"N/A",TEXT((C33-B33)/ABS(B33),"0.0%"))</f>
        <v/>
      </c>
      <c r="F33" s="25" t="inlineStr"/>
      <c r="G33" s="44" t="inlineStr"/>
      <c r="H33" s="45" t="inlineStr"/>
    </row>
    <row r="34">
      <c r="A34" s="179" t="inlineStr">
        <is>
          <t>Other Current Liabilities</t>
        </is>
      </c>
      <c r="B34" s="181" t="n">
        <v>0</v>
      </c>
      <c r="C34" s="181" t="n">
        <v>0</v>
      </c>
      <c r="D34" s="43">
        <f>C34-B34</f>
        <v/>
      </c>
      <c r="E34" s="180">
        <f>IF(B34=0,"N/A",TEXT((C34-B34)/ABS(B34),"0.0%"))</f>
        <v/>
      </c>
      <c r="F34" s="25" t="inlineStr"/>
      <c r="G34" s="44" t="inlineStr"/>
      <c r="H34" s="45" t="inlineStr"/>
    </row>
    <row r="35">
      <c r="A35" s="182" t="inlineStr">
        <is>
          <t>Total Liabilities</t>
        </is>
      </c>
      <c r="B35" s="181" t="n">
        <v>0</v>
      </c>
      <c r="C35" s="181" t="n">
        <v>0</v>
      </c>
      <c r="D35" s="46">
        <f>C35-B35</f>
        <v/>
      </c>
      <c r="E35" s="180">
        <f>IF(B35=0,"N/A",TEXT((C35-B35)/ABS(B35),"0.0%"))</f>
        <v/>
      </c>
      <c r="F35" s="25" t="inlineStr"/>
      <c r="G35" s="44" t="inlineStr"/>
      <c r="H35" s="45" t="inlineStr"/>
    </row>
    <row r="36">
      <c r="A36" s="179" t="inlineStr">
        <is>
          <t>Fixed Assets (Net Block)</t>
        </is>
      </c>
      <c r="B36" s="181" t="n">
        <v>0</v>
      </c>
      <c r="C36" s="181" t="n">
        <v>0</v>
      </c>
      <c r="D36" s="43">
        <f>C36-B36</f>
        <v/>
      </c>
      <c r="E36" s="180">
        <f>IF(B36=0,"N/A",TEXT((C36-B36)/ABS(B36),"0.0%"))</f>
        <v/>
      </c>
      <c r="F36" s="25" t="inlineStr"/>
      <c r="G36" s="44" t="inlineStr"/>
      <c r="H36" s="45" t="inlineStr"/>
    </row>
    <row r="37">
      <c r="A37" s="179" t="inlineStr">
        <is>
          <t>Capital Work-in-Progress</t>
        </is>
      </c>
      <c r="B37" s="181" t="n">
        <v>0</v>
      </c>
      <c r="C37" s="181" t="n">
        <v>0</v>
      </c>
      <c r="D37" s="43">
        <f>C37-B37</f>
        <v/>
      </c>
      <c r="E37" s="180">
        <f>IF(B37=0,"N/A",TEXT((C37-B37)/ABS(B37),"0.0%"))</f>
        <v/>
      </c>
      <c r="F37" s="25" t="inlineStr"/>
      <c r="G37" s="44" t="inlineStr"/>
      <c r="H37" s="45" t="inlineStr"/>
    </row>
    <row r="38">
      <c r="A38" s="179" t="inlineStr">
        <is>
          <t>Investments (Non-Current)</t>
        </is>
      </c>
      <c r="B38" s="181" t="n">
        <v>0</v>
      </c>
      <c r="C38" s="181" t="n">
        <v>0</v>
      </c>
      <c r="D38" s="43">
        <f>C38-B38</f>
        <v/>
      </c>
      <c r="E38" s="180">
        <f>IF(B38=0,"N/A",TEXT((C38-B38)/ABS(B38),"0.0%"))</f>
        <v/>
      </c>
      <c r="F38" s="25" t="inlineStr"/>
      <c r="G38" s="44" t="inlineStr"/>
      <c r="H38" s="45" t="inlineStr"/>
    </row>
    <row r="39">
      <c r="A39" s="179" t="inlineStr">
        <is>
          <t>Inventories</t>
        </is>
      </c>
      <c r="B39" s="181" t="n">
        <v>0</v>
      </c>
      <c r="C39" s="181" t="n">
        <v>0</v>
      </c>
      <c r="D39" s="43">
        <f>C39-B39</f>
        <v/>
      </c>
      <c r="E39" s="180">
        <f>IF(B39=0,"N/A",TEXT((C39-B39)/ABS(B39),"0.0%"))</f>
        <v/>
      </c>
      <c r="F39" s="25" t="inlineStr"/>
      <c r="G39" s="44" t="inlineStr"/>
      <c r="H39" s="45" t="inlineStr"/>
    </row>
    <row r="40">
      <c r="A40" s="179" t="inlineStr">
        <is>
          <t>Trade Receivables</t>
        </is>
      </c>
      <c r="B40" s="181" t="n">
        <v>0</v>
      </c>
      <c r="C40" s="181" t="n">
        <v>0</v>
      </c>
      <c r="D40" s="43">
        <f>C40-B40</f>
        <v/>
      </c>
      <c r="E40" s="180">
        <f>IF(B40=0,"N/A",TEXT((C40-B40)/ABS(B40),"0.0%"))</f>
        <v/>
      </c>
      <c r="F40" s="25" t="inlineStr"/>
      <c r="G40" s="44" t="inlineStr"/>
      <c r="H40" s="45" t="inlineStr"/>
    </row>
    <row r="41">
      <c r="A41" s="179" t="inlineStr">
        <is>
          <t>Cash &amp; Bank Balances</t>
        </is>
      </c>
      <c r="B41" s="181" t="n">
        <v>0</v>
      </c>
      <c r="C41" s="181" t="n">
        <v>0</v>
      </c>
      <c r="D41" s="43">
        <f>C41-B41</f>
        <v/>
      </c>
      <c r="E41" s="180">
        <f>IF(B41=0,"N/A",TEXT((C41-B41)/ABS(B41),"0.0%"))</f>
        <v/>
      </c>
      <c r="F41" s="25" t="inlineStr"/>
      <c r="G41" s="44" t="inlineStr"/>
      <c r="H41" s="45" t="inlineStr"/>
    </row>
    <row r="42">
      <c r="A42" s="179" t="inlineStr">
        <is>
          <t>Short-term Loans &amp; Advances</t>
        </is>
      </c>
      <c r="B42" s="181" t="n">
        <v>0</v>
      </c>
      <c r="C42" s="181" t="n">
        <v>0</v>
      </c>
      <c r="D42" s="43">
        <f>C42-B42</f>
        <v/>
      </c>
      <c r="E42" s="180">
        <f>IF(B42=0,"N/A",TEXT((C42-B42)/ABS(B42),"0.0%"))</f>
        <v/>
      </c>
      <c r="F42" s="25" t="inlineStr"/>
      <c r="G42" s="44" t="inlineStr"/>
      <c r="H42" s="45" t="inlineStr"/>
    </row>
    <row r="43">
      <c r="A43" s="182" t="inlineStr">
        <is>
          <t>Total Assets</t>
        </is>
      </c>
      <c r="B43" s="181" t="n">
        <v>0</v>
      </c>
      <c r="C43" s="181" t="n">
        <v>0</v>
      </c>
      <c r="D43" s="46">
        <f>C43-B43</f>
        <v/>
      </c>
      <c r="E43" s="180">
        <f>IF(B43=0,"N/A",TEXT((C43-B43)/ABS(B43),"0.0%"))</f>
        <v/>
      </c>
      <c r="F43" s="25" t="inlineStr"/>
      <c r="G43" s="44" t="inlineStr"/>
      <c r="H43" s="45" t="inlineStr"/>
    </row>
    <row r="45">
      <c r="A45" s="2" t="inlineStr">
        <is>
          <t>C. KEY FINANCIAL RATIOS</t>
        </is>
      </c>
    </row>
    <row r="46">
      <c r="A46" s="22" t="inlineStr">
        <is>
          <t>Ratio Name</t>
        </is>
      </c>
      <c r="B46" s="22" t="inlineStr">
        <is>
          <t>Formula</t>
        </is>
      </c>
      <c r="C46" s="22" t="inlineStr">
        <is>
          <t>FY 2024-25</t>
        </is>
      </c>
      <c r="D46" s="22" t="inlineStr">
        <is>
          <t>FY 2025-26</t>
        </is>
      </c>
      <c r="E46" s="22" t="inlineStr">
        <is>
          <t>Change</t>
        </is>
      </c>
      <c r="F46" s="22" t="inlineStr">
        <is>
          <t>Industry Benchmark</t>
        </is>
      </c>
      <c r="G46" s="22" t="inlineStr">
        <is>
          <t>Assessment</t>
        </is>
      </c>
      <c r="H46" s="22" t="inlineStr">
        <is>
          <t>Comments</t>
        </is>
      </c>
    </row>
    <row r="47">
      <c r="A47" s="182" t="inlineStr">
        <is>
          <t>Current Ratio</t>
        </is>
      </c>
      <c r="B47" s="47" t="inlineStr">
        <is>
          <t>Current Assets / Current Liabilities</t>
        </is>
      </c>
      <c r="C47" s="25" t="inlineStr"/>
      <c r="D47" s="25" t="inlineStr"/>
      <c r="E47" s="180" t="inlineStr"/>
      <c r="F47" s="170" t="inlineStr">
        <is>
          <t>1.5x to 2.0x</t>
        </is>
      </c>
      <c r="G47" s="44" t="inlineStr"/>
      <c r="H47" s="45" t="inlineStr"/>
    </row>
    <row r="48">
      <c r="A48" s="182" t="inlineStr">
        <is>
          <t>Quick Ratio</t>
        </is>
      </c>
      <c r="B48" s="47" t="inlineStr">
        <is>
          <t>(CA - Inventories) / CL</t>
        </is>
      </c>
      <c r="C48" s="25" t="inlineStr"/>
      <c r="D48" s="25" t="inlineStr"/>
      <c r="E48" s="180" t="inlineStr"/>
      <c r="F48" s="170" t="inlineStr">
        <is>
          <t>&gt; 1.0x</t>
        </is>
      </c>
      <c r="G48" s="44" t="inlineStr"/>
      <c r="H48" s="45" t="inlineStr"/>
    </row>
    <row r="49">
      <c r="A49" s="182" t="inlineStr">
        <is>
          <t>Debt-Equity Ratio</t>
        </is>
      </c>
      <c r="B49" s="47" t="inlineStr">
        <is>
          <t>Total Debt / Total Equity</t>
        </is>
      </c>
      <c r="C49" s="25" t="inlineStr"/>
      <c r="D49" s="25" t="inlineStr"/>
      <c r="E49" s="180" t="inlineStr"/>
      <c r="F49" s="170" t="inlineStr">
        <is>
          <t>&lt; 2.0x</t>
        </is>
      </c>
      <c r="G49" s="44" t="inlineStr"/>
      <c r="H49" s="45" t="inlineStr"/>
    </row>
    <row r="50">
      <c r="A50" s="182" t="inlineStr">
        <is>
          <t>Debt Service Coverage Ratio</t>
        </is>
      </c>
      <c r="B50" s="47" t="inlineStr">
        <is>
          <t>(EBITDA) / (Interest + Principal)</t>
        </is>
      </c>
      <c r="C50" s="25" t="inlineStr"/>
      <c r="D50" s="25" t="inlineStr"/>
      <c r="E50" s="180" t="inlineStr"/>
      <c r="F50" s="170" t="inlineStr">
        <is>
          <t>&gt; 1.5x</t>
        </is>
      </c>
      <c r="G50" s="44" t="inlineStr"/>
      <c r="H50" s="45" t="inlineStr"/>
    </row>
    <row r="51">
      <c r="A51" s="182" t="inlineStr">
        <is>
          <t>Gross Profit Margin</t>
        </is>
      </c>
      <c r="B51" s="47" t="inlineStr">
        <is>
          <t>Gross Profit / Revenue</t>
        </is>
      </c>
      <c r="C51" s="25" t="inlineStr"/>
      <c r="D51" s="25" t="inlineStr"/>
      <c r="E51" s="180" t="inlineStr"/>
      <c r="F51" s="170" t="inlineStr">
        <is>
          <t>Industry specific</t>
        </is>
      </c>
      <c r="G51" s="44" t="inlineStr"/>
      <c r="H51" s="45" t="inlineStr"/>
    </row>
    <row r="52">
      <c r="A52" s="182" t="inlineStr">
        <is>
          <t>EBITDA Margin</t>
        </is>
      </c>
      <c r="B52" s="47" t="inlineStr">
        <is>
          <t>EBITDA / Revenue</t>
        </is>
      </c>
      <c r="C52" s="25" t="inlineStr"/>
      <c r="D52" s="25" t="inlineStr"/>
      <c r="E52" s="180" t="inlineStr"/>
      <c r="F52" s="170" t="inlineStr">
        <is>
          <t>Industry specific</t>
        </is>
      </c>
      <c r="G52" s="44" t="inlineStr"/>
      <c r="H52" s="45" t="inlineStr"/>
    </row>
    <row r="53">
      <c r="A53" s="182" t="inlineStr">
        <is>
          <t>Net Profit Margin</t>
        </is>
      </c>
      <c r="B53" s="47" t="inlineStr">
        <is>
          <t>PAT / Revenue</t>
        </is>
      </c>
      <c r="C53" s="25" t="inlineStr"/>
      <c r="D53" s="25" t="inlineStr"/>
      <c r="E53" s="180" t="inlineStr"/>
      <c r="F53" s="170" t="inlineStr">
        <is>
          <t>Industry specific</t>
        </is>
      </c>
      <c r="G53" s="44" t="inlineStr"/>
      <c r="H53" s="45" t="inlineStr"/>
    </row>
    <row r="54">
      <c r="A54" s="182" t="inlineStr">
        <is>
          <t>Return on Equity (ROE)</t>
        </is>
      </c>
      <c r="B54" s="47" t="inlineStr">
        <is>
          <t>PAT / Average Equity</t>
        </is>
      </c>
      <c r="C54" s="25" t="inlineStr"/>
      <c r="D54" s="25" t="inlineStr"/>
      <c r="E54" s="180" t="inlineStr"/>
      <c r="F54" s="170" t="inlineStr">
        <is>
          <t>&gt; 15%</t>
        </is>
      </c>
      <c r="G54" s="44" t="inlineStr"/>
      <c r="H54" s="45" t="inlineStr"/>
    </row>
    <row r="55">
      <c r="A55" s="182" t="inlineStr">
        <is>
          <t>Return on Capital Employed (ROCE)</t>
        </is>
      </c>
      <c r="B55" s="47" t="inlineStr">
        <is>
          <t>EBIT / Capital Employed</t>
        </is>
      </c>
      <c r="C55" s="25" t="inlineStr"/>
      <c r="D55" s="25" t="inlineStr"/>
      <c r="E55" s="180" t="inlineStr"/>
      <c r="F55" s="170" t="inlineStr">
        <is>
          <t>&gt; 12%</t>
        </is>
      </c>
      <c r="G55" s="44" t="inlineStr"/>
      <c r="H55" s="45" t="inlineStr"/>
    </row>
    <row r="56">
      <c r="A56" s="182" t="inlineStr">
        <is>
          <t>Inventory Turnover</t>
        </is>
      </c>
      <c r="B56" s="47" t="inlineStr">
        <is>
          <t>COGS / Average Inventory</t>
        </is>
      </c>
      <c r="C56" s="25" t="inlineStr"/>
      <c r="D56" s="25" t="inlineStr"/>
      <c r="E56" s="180" t="inlineStr"/>
      <c r="F56" s="170" t="inlineStr">
        <is>
          <t>Industry specific</t>
        </is>
      </c>
      <c r="G56" s="44" t="inlineStr"/>
      <c r="H56" s="45" t="inlineStr"/>
    </row>
    <row r="57">
      <c r="A57" s="182" t="inlineStr">
        <is>
          <t>Debtor Days</t>
        </is>
      </c>
      <c r="B57" s="47" t="inlineStr">
        <is>
          <t>(Trade Receivables / Revenue) × 365</t>
        </is>
      </c>
      <c r="C57" s="25" t="inlineStr"/>
      <c r="D57" s="25" t="inlineStr"/>
      <c r="E57" s="180" t="inlineStr"/>
      <c r="F57" s="170" t="inlineStr">
        <is>
          <t>&lt; 60 days</t>
        </is>
      </c>
      <c r="G57" s="44" t="inlineStr"/>
      <c r="H57" s="45" t="inlineStr"/>
    </row>
    <row r="58">
      <c r="A58" s="182" t="inlineStr">
        <is>
          <t>Creditor Days</t>
        </is>
      </c>
      <c r="B58" s="47" t="inlineStr">
        <is>
          <t>(Trade Payables / Purchases) × 365</t>
        </is>
      </c>
      <c r="C58" s="25" t="inlineStr"/>
      <c r="D58" s="25" t="inlineStr"/>
      <c r="E58" s="180" t="inlineStr"/>
      <c r="F58" s="170" t="inlineStr">
        <is>
          <t>&lt; 90 days</t>
        </is>
      </c>
      <c r="G58" s="44" t="inlineStr"/>
      <c r="H58" s="45" t="inlineStr"/>
    </row>
    <row r="59">
      <c r="A59" s="182" t="inlineStr">
        <is>
          <t>Interest Coverage Ratio</t>
        </is>
      </c>
      <c r="B59" s="47" t="inlineStr">
        <is>
          <t>EBIT / Interest Expense</t>
        </is>
      </c>
      <c r="C59" s="25" t="inlineStr"/>
      <c r="D59" s="25" t="inlineStr"/>
      <c r="E59" s="180" t="inlineStr"/>
      <c r="F59" s="170" t="inlineStr">
        <is>
          <t>&gt; 3x</t>
        </is>
      </c>
      <c r="G59" s="44" t="inlineStr"/>
      <c r="H59" s="45" t="inlineStr"/>
    </row>
    <row r="60">
      <c r="A60" s="182" t="inlineStr">
        <is>
          <t>Working Capital Turnover</t>
        </is>
      </c>
      <c r="B60" s="47" t="inlineStr">
        <is>
          <t>Revenue / Net Working Capital</t>
        </is>
      </c>
      <c r="C60" s="25" t="inlineStr"/>
      <c r="D60" s="25" t="inlineStr"/>
      <c r="E60" s="180" t="inlineStr"/>
      <c r="F60" s="170" t="inlineStr">
        <is>
          <t>Industry specific</t>
        </is>
      </c>
      <c r="G60" s="44" t="inlineStr"/>
      <c r="H60" s="45" t="inlineStr"/>
    </row>
  </sheetData>
  <mergeCells count="4">
    <mergeCell ref="A45:H45"/>
    <mergeCell ref="A25:H25"/>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1" customWidth="1" min="2" max="2"/>
    <col width="16" customWidth="1" min="3" max="3"/>
    <col width="45" customWidth="1" min="4" max="4"/>
    <col width="12" customWidth="1" min="5" max="5"/>
    <col width="16" customWidth="1" min="6" max="6"/>
    <col width="40" customWidth="1" min="7" max="7"/>
    <col width="11" customWidth="1" min="8" max="8"/>
    <col width="13" customWidth="1" min="9" max="9"/>
    <col width="30" customWidth="1" min="10" max="10"/>
  </cols>
  <sheetData>
    <row r="1">
      <c r="A1" s="30" t="inlineStr">
        <is>
          <t>AUDIT QUERY LOG  |  FY 2025-26</t>
        </is>
      </c>
    </row>
    <row r="2">
      <c r="A2" s="31" t="inlineStr">
        <is>
          <t>Log all queries raised during the audit. Track responses and closure.</t>
        </is>
      </c>
    </row>
    <row r="3">
      <c r="A3" s="22" t="inlineStr">
        <is>
          <t>Query No.</t>
        </is>
      </c>
      <c r="B3" s="22" t="inlineStr">
        <is>
          <t>Date Raised</t>
        </is>
      </c>
      <c r="C3" s="22" t="inlineStr">
        <is>
          <t>Area</t>
        </is>
      </c>
      <c r="D3" s="22" t="inlineStr">
        <is>
          <t>Query Description</t>
        </is>
      </c>
      <c r="E3" s="22" t="inlineStr">
        <is>
          <t>Raised By</t>
        </is>
      </c>
      <c r="F3" s="22" t="inlineStr">
        <is>
          <t>Addressed To</t>
        </is>
      </c>
      <c r="G3" s="22" t="inlineStr">
        <is>
          <t>Client Response</t>
        </is>
      </c>
      <c r="H3" s="22" t="inlineStr">
        <is>
          <t>Date Replied</t>
        </is>
      </c>
      <c r="I3" s="22" t="inlineStr">
        <is>
          <t>Status</t>
        </is>
      </c>
      <c r="J3" s="22" t="inlineStr">
        <is>
          <t>Impact / Remarks</t>
        </is>
      </c>
    </row>
    <row r="4" ht="30" customHeight="1">
      <c r="A4" s="159" t="inlineStr">
        <is>
          <t>AQ-001</t>
        </is>
      </c>
      <c r="B4" s="156" t="inlineStr"/>
      <c r="C4" s="156" t="inlineStr"/>
      <c r="D4" s="40" t="inlineStr"/>
      <c r="E4" s="156" t="inlineStr"/>
      <c r="F4" s="156" t="inlineStr"/>
      <c r="G4" s="40" t="inlineStr"/>
      <c r="H4" s="156" t="inlineStr"/>
      <c r="I4" s="163" t="inlineStr">
        <is>
          <t>Open</t>
        </is>
      </c>
      <c r="J4" s="40" t="inlineStr"/>
    </row>
    <row r="5" ht="30" customHeight="1">
      <c r="A5" s="159" t="inlineStr">
        <is>
          <t>AQ-002</t>
        </is>
      </c>
      <c r="B5" s="165" t="inlineStr"/>
      <c r="C5" s="165" t="inlineStr"/>
      <c r="D5" s="34" t="inlineStr"/>
      <c r="E5" s="165" t="inlineStr"/>
      <c r="F5" s="165" t="inlineStr"/>
      <c r="G5" s="34" t="inlineStr"/>
      <c r="H5" s="165" t="inlineStr"/>
      <c r="I5" s="163" t="inlineStr">
        <is>
          <t>Open</t>
        </is>
      </c>
      <c r="J5" s="34" t="inlineStr"/>
    </row>
    <row r="6" ht="30" customHeight="1">
      <c r="A6" s="159" t="inlineStr">
        <is>
          <t>AQ-003</t>
        </is>
      </c>
      <c r="B6" s="156" t="inlineStr"/>
      <c r="C6" s="156" t="inlineStr"/>
      <c r="D6" s="40" t="inlineStr"/>
      <c r="E6" s="156" t="inlineStr"/>
      <c r="F6" s="156" t="inlineStr"/>
      <c r="G6" s="40" t="inlineStr"/>
      <c r="H6" s="156" t="inlineStr"/>
      <c r="I6" s="163" t="inlineStr">
        <is>
          <t>Open</t>
        </is>
      </c>
      <c r="J6" s="40" t="inlineStr"/>
    </row>
    <row r="7" ht="30" customHeight="1">
      <c r="A7" s="159" t="inlineStr">
        <is>
          <t>AQ-004</t>
        </is>
      </c>
      <c r="B7" s="165" t="inlineStr"/>
      <c r="C7" s="165" t="inlineStr"/>
      <c r="D7" s="34" t="inlineStr"/>
      <c r="E7" s="165" t="inlineStr"/>
      <c r="F7" s="165" t="inlineStr"/>
      <c r="G7" s="34" t="inlineStr"/>
      <c r="H7" s="165" t="inlineStr"/>
      <c r="I7" s="163" t="inlineStr">
        <is>
          <t>Open</t>
        </is>
      </c>
      <c r="J7" s="34" t="inlineStr"/>
    </row>
    <row r="8" ht="30" customHeight="1">
      <c r="A8" s="159" t="inlineStr">
        <is>
          <t>AQ-005</t>
        </is>
      </c>
      <c r="B8" s="156" t="inlineStr"/>
      <c r="C8" s="156" t="inlineStr"/>
      <c r="D8" s="40" t="inlineStr"/>
      <c r="E8" s="156" t="inlineStr"/>
      <c r="F8" s="156" t="inlineStr"/>
      <c r="G8" s="40" t="inlineStr"/>
      <c r="H8" s="156" t="inlineStr"/>
      <c r="I8" s="163" t="inlineStr">
        <is>
          <t>Open</t>
        </is>
      </c>
      <c r="J8" s="40" t="inlineStr"/>
    </row>
    <row r="9" ht="30" customHeight="1">
      <c r="A9" s="159" t="inlineStr">
        <is>
          <t>AQ-006</t>
        </is>
      </c>
      <c r="B9" s="165" t="inlineStr"/>
      <c r="C9" s="165" t="inlineStr"/>
      <c r="D9" s="34" t="inlineStr"/>
      <c r="E9" s="165" t="inlineStr"/>
      <c r="F9" s="165" t="inlineStr"/>
      <c r="G9" s="34" t="inlineStr"/>
      <c r="H9" s="165" t="inlineStr"/>
      <c r="I9" s="163" t="inlineStr">
        <is>
          <t>Open</t>
        </is>
      </c>
      <c r="J9" s="34" t="inlineStr"/>
    </row>
    <row r="10" ht="30" customHeight="1">
      <c r="A10" s="159" t="inlineStr">
        <is>
          <t>AQ-007</t>
        </is>
      </c>
      <c r="B10" s="156" t="inlineStr"/>
      <c r="C10" s="156" t="inlineStr"/>
      <c r="D10" s="40" t="inlineStr"/>
      <c r="E10" s="156" t="inlineStr"/>
      <c r="F10" s="156" t="inlineStr"/>
      <c r="G10" s="40" t="inlineStr"/>
      <c r="H10" s="156" t="inlineStr"/>
      <c r="I10" s="163" t="inlineStr">
        <is>
          <t>Open</t>
        </is>
      </c>
      <c r="J10" s="40" t="inlineStr"/>
    </row>
    <row r="11" ht="30" customHeight="1">
      <c r="A11" s="159" t="inlineStr">
        <is>
          <t>AQ-008</t>
        </is>
      </c>
      <c r="B11" s="165" t="inlineStr"/>
      <c r="C11" s="165" t="inlineStr"/>
      <c r="D11" s="34" t="inlineStr"/>
      <c r="E11" s="165" t="inlineStr"/>
      <c r="F11" s="165" t="inlineStr"/>
      <c r="G11" s="34" t="inlineStr"/>
      <c r="H11" s="165" t="inlineStr"/>
      <c r="I11" s="163" t="inlineStr">
        <is>
          <t>Open</t>
        </is>
      </c>
      <c r="J11" s="34" t="inlineStr"/>
    </row>
    <row r="12" ht="30" customHeight="1">
      <c r="A12" s="159" t="inlineStr">
        <is>
          <t>AQ-009</t>
        </is>
      </c>
      <c r="B12" s="156" t="inlineStr"/>
      <c r="C12" s="156" t="inlineStr"/>
      <c r="D12" s="40" t="inlineStr"/>
      <c r="E12" s="156" t="inlineStr"/>
      <c r="F12" s="156" t="inlineStr"/>
      <c r="G12" s="40" t="inlineStr"/>
      <c r="H12" s="156" t="inlineStr"/>
      <c r="I12" s="163" t="inlineStr">
        <is>
          <t>Open</t>
        </is>
      </c>
      <c r="J12" s="40" t="inlineStr"/>
    </row>
    <row r="13" ht="30" customHeight="1">
      <c r="A13" s="159" t="inlineStr">
        <is>
          <t>AQ-010</t>
        </is>
      </c>
      <c r="B13" s="165" t="inlineStr"/>
      <c r="C13" s="165" t="inlineStr"/>
      <c r="D13" s="34" t="inlineStr"/>
      <c r="E13" s="165" t="inlineStr"/>
      <c r="F13" s="165" t="inlineStr"/>
      <c r="G13" s="34" t="inlineStr"/>
      <c r="H13" s="165" t="inlineStr"/>
      <c r="I13" s="163" t="inlineStr">
        <is>
          <t>Open</t>
        </is>
      </c>
      <c r="J13" s="34" t="inlineStr"/>
    </row>
    <row r="14" ht="30" customHeight="1">
      <c r="A14" s="159" t="inlineStr">
        <is>
          <t>AQ-011</t>
        </is>
      </c>
      <c r="B14" s="156" t="inlineStr"/>
      <c r="C14" s="156" t="inlineStr"/>
      <c r="D14" s="40" t="inlineStr"/>
      <c r="E14" s="156" t="inlineStr"/>
      <c r="F14" s="156" t="inlineStr"/>
      <c r="G14" s="40" t="inlineStr"/>
      <c r="H14" s="156" t="inlineStr"/>
      <c r="I14" s="163" t="inlineStr">
        <is>
          <t>Open</t>
        </is>
      </c>
      <c r="J14" s="40" t="inlineStr"/>
    </row>
    <row r="15" ht="30" customHeight="1">
      <c r="A15" s="159" t="inlineStr">
        <is>
          <t>AQ-012</t>
        </is>
      </c>
      <c r="B15" s="165" t="inlineStr"/>
      <c r="C15" s="165" t="inlineStr"/>
      <c r="D15" s="34" t="inlineStr"/>
      <c r="E15" s="165" t="inlineStr"/>
      <c r="F15" s="165" t="inlineStr"/>
      <c r="G15" s="34" t="inlineStr"/>
      <c r="H15" s="165" t="inlineStr"/>
      <c r="I15" s="163" t="inlineStr">
        <is>
          <t>Open</t>
        </is>
      </c>
      <c r="J15" s="34" t="inlineStr"/>
    </row>
    <row r="16" ht="30" customHeight="1">
      <c r="A16" s="159" t="inlineStr">
        <is>
          <t>AQ-013</t>
        </is>
      </c>
      <c r="B16" s="156" t="inlineStr"/>
      <c r="C16" s="156" t="inlineStr"/>
      <c r="D16" s="40" t="inlineStr"/>
      <c r="E16" s="156" t="inlineStr"/>
      <c r="F16" s="156" t="inlineStr"/>
      <c r="G16" s="40" t="inlineStr"/>
      <c r="H16" s="156" t="inlineStr"/>
      <c r="I16" s="163" t="inlineStr">
        <is>
          <t>Open</t>
        </is>
      </c>
      <c r="J16" s="40" t="inlineStr"/>
    </row>
    <row r="17" ht="30" customHeight="1">
      <c r="A17" s="159" t="inlineStr">
        <is>
          <t>AQ-014</t>
        </is>
      </c>
      <c r="B17" s="165" t="inlineStr"/>
      <c r="C17" s="165" t="inlineStr"/>
      <c r="D17" s="34" t="inlineStr"/>
      <c r="E17" s="165" t="inlineStr"/>
      <c r="F17" s="165" t="inlineStr"/>
      <c r="G17" s="34" t="inlineStr"/>
      <c r="H17" s="165" t="inlineStr"/>
      <c r="I17" s="163" t="inlineStr">
        <is>
          <t>Open</t>
        </is>
      </c>
      <c r="J17" s="34" t="inlineStr"/>
    </row>
    <row r="18" ht="30" customHeight="1">
      <c r="A18" s="159" t="inlineStr">
        <is>
          <t>AQ-015</t>
        </is>
      </c>
      <c r="B18" s="156" t="inlineStr"/>
      <c r="C18" s="156" t="inlineStr"/>
      <c r="D18" s="40" t="inlineStr"/>
      <c r="E18" s="156" t="inlineStr"/>
      <c r="F18" s="156" t="inlineStr"/>
      <c r="G18" s="40" t="inlineStr"/>
      <c r="H18" s="156" t="inlineStr"/>
      <c r="I18" s="163" t="inlineStr">
        <is>
          <t>Open</t>
        </is>
      </c>
      <c r="J18" s="40" t="inlineStr"/>
    </row>
    <row r="19" ht="30" customHeight="1">
      <c r="A19" s="159" t="inlineStr">
        <is>
          <t>AQ-016</t>
        </is>
      </c>
      <c r="B19" s="165" t="inlineStr"/>
      <c r="C19" s="165" t="inlineStr"/>
      <c r="D19" s="34" t="inlineStr"/>
      <c r="E19" s="165" t="inlineStr"/>
      <c r="F19" s="165" t="inlineStr"/>
      <c r="G19" s="34" t="inlineStr"/>
      <c r="H19" s="165" t="inlineStr"/>
      <c r="I19" s="163" t="inlineStr">
        <is>
          <t>Open</t>
        </is>
      </c>
      <c r="J19" s="34" t="inlineStr"/>
    </row>
    <row r="20" ht="30" customHeight="1">
      <c r="A20" s="159" t="inlineStr">
        <is>
          <t>AQ-017</t>
        </is>
      </c>
      <c r="B20" s="156" t="inlineStr"/>
      <c r="C20" s="156" t="inlineStr"/>
      <c r="D20" s="40" t="inlineStr"/>
      <c r="E20" s="156" t="inlineStr"/>
      <c r="F20" s="156" t="inlineStr"/>
      <c r="G20" s="40" t="inlineStr"/>
      <c r="H20" s="156" t="inlineStr"/>
      <c r="I20" s="163" t="inlineStr">
        <is>
          <t>Open</t>
        </is>
      </c>
      <c r="J20" s="40" t="inlineStr"/>
    </row>
    <row r="21" ht="30" customHeight="1">
      <c r="A21" s="159" t="inlineStr">
        <is>
          <t>AQ-018</t>
        </is>
      </c>
      <c r="B21" s="165" t="inlineStr"/>
      <c r="C21" s="165" t="inlineStr"/>
      <c r="D21" s="34" t="inlineStr"/>
      <c r="E21" s="165" t="inlineStr"/>
      <c r="F21" s="165" t="inlineStr"/>
      <c r="G21" s="34" t="inlineStr"/>
      <c r="H21" s="165" t="inlineStr"/>
      <c r="I21" s="163" t="inlineStr">
        <is>
          <t>Open</t>
        </is>
      </c>
      <c r="J21" s="34" t="inlineStr"/>
    </row>
    <row r="22" ht="30" customHeight="1">
      <c r="A22" s="159" t="inlineStr">
        <is>
          <t>AQ-019</t>
        </is>
      </c>
      <c r="B22" s="156" t="inlineStr"/>
      <c r="C22" s="156" t="inlineStr"/>
      <c r="D22" s="40" t="inlineStr"/>
      <c r="E22" s="156" t="inlineStr"/>
      <c r="F22" s="156" t="inlineStr"/>
      <c r="G22" s="40" t="inlineStr"/>
      <c r="H22" s="156" t="inlineStr"/>
      <c r="I22" s="163" t="inlineStr">
        <is>
          <t>Open</t>
        </is>
      </c>
      <c r="J22" s="40" t="inlineStr"/>
    </row>
    <row r="23" ht="30" customHeight="1">
      <c r="A23" s="159" t="inlineStr">
        <is>
          <t>AQ-020</t>
        </is>
      </c>
      <c r="B23" s="165" t="inlineStr"/>
      <c r="C23" s="165" t="inlineStr"/>
      <c r="D23" s="34" t="inlineStr"/>
      <c r="E23" s="165" t="inlineStr"/>
      <c r="F23" s="165" t="inlineStr"/>
      <c r="G23" s="34" t="inlineStr"/>
      <c r="H23" s="165" t="inlineStr"/>
      <c r="I23" s="163" t="inlineStr">
        <is>
          <t>Open</t>
        </is>
      </c>
      <c r="J23" s="34" t="inlineStr"/>
    </row>
    <row r="24" ht="30" customHeight="1">
      <c r="A24" s="159" t="inlineStr">
        <is>
          <t>AQ-021</t>
        </is>
      </c>
      <c r="B24" s="156" t="inlineStr"/>
      <c r="C24" s="156" t="inlineStr"/>
      <c r="D24" s="40" t="inlineStr"/>
      <c r="E24" s="156" t="inlineStr"/>
      <c r="F24" s="156" t="inlineStr"/>
      <c r="G24" s="40" t="inlineStr"/>
      <c r="H24" s="156" t="inlineStr"/>
      <c r="I24" s="163" t="inlineStr">
        <is>
          <t>Open</t>
        </is>
      </c>
      <c r="J24" s="40" t="inlineStr"/>
    </row>
    <row r="25" ht="30" customHeight="1">
      <c r="A25" s="159" t="inlineStr">
        <is>
          <t>AQ-022</t>
        </is>
      </c>
      <c r="B25" s="165" t="inlineStr"/>
      <c r="C25" s="165" t="inlineStr"/>
      <c r="D25" s="34" t="inlineStr"/>
      <c r="E25" s="165" t="inlineStr"/>
      <c r="F25" s="165" t="inlineStr"/>
      <c r="G25" s="34" t="inlineStr"/>
      <c r="H25" s="165" t="inlineStr"/>
      <c r="I25" s="163" t="inlineStr">
        <is>
          <t>Open</t>
        </is>
      </c>
      <c r="J25" s="34" t="inlineStr"/>
    </row>
    <row r="26" ht="30" customHeight="1">
      <c r="A26" s="159" t="inlineStr">
        <is>
          <t>AQ-023</t>
        </is>
      </c>
      <c r="B26" s="156" t="inlineStr"/>
      <c r="C26" s="156" t="inlineStr"/>
      <c r="D26" s="40" t="inlineStr"/>
      <c r="E26" s="156" t="inlineStr"/>
      <c r="F26" s="156" t="inlineStr"/>
      <c r="G26" s="40" t="inlineStr"/>
      <c r="H26" s="156" t="inlineStr"/>
      <c r="I26" s="163" t="inlineStr">
        <is>
          <t>Open</t>
        </is>
      </c>
      <c r="J26" s="40" t="inlineStr"/>
    </row>
    <row r="27" ht="30" customHeight="1">
      <c r="A27" s="159" t="inlineStr">
        <is>
          <t>AQ-024</t>
        </is>
      </c>
      <c r="B27" s="165" t="inlineStr"/>
      <c r="C27" s="165" t="inlineStr"/>
      <c r="D27" s="34" t="inlineStr"/>
      <c r="E27" s="165" t="inlineStr"/>
      <c r="F27" s="165" t="inlineStr"/>
      <c r="G27" s="34" t="inlineStr"/>
      <c r="H27" s="165" t="inlineStr"/>
      <c r="I27" s="163" t="inlineStr">
        <is>
          <t>Open</t>
        </is>
      </c>
      <c r="J27" s="34" t="inlineStr"/>
    </row>
    <row r="28" ht="30" customHeight="1">
      <c r="A28" s="159" t="inlineStr">
        <is>
          <t>AQ-025</t>
        </is>
      </c>
      <c r="B28" s="156" t="inlineStr"/>
      <c r="C28" s="156" t="inlineStr"/>
      <c r="D28" s="40" t="inlineStr"/>
      <c r="E28" s="156" t="inlineStr"/>
      <c r="F28" s="156" t="inlineStr"/>
      <c r="G28" s="40" t="inlineStr"/>
      <c r="H28" s="156" t="inlineStr"/>
      <c r="I28" s="163" t="inlineStr">
        <is>
          <t>Open</t>
        </is>
      </c>
      <c r="J28" s="40" t="inlineStr"/>
    </row>
    <row r="29" ht="30" customHeight="1">
      <c r="A29" s="159" t="inlineStr">
        <is>
          <t>AQ-026</t>
        </is>
      </c>
      <c r="B29" s="165" t="inlineStr"/>
      <c r="C29" s="165" t="inlineStr"/>
      <c r="D29" s="34" t="inlineStr"/>
      <c r="E29" s="165" t="inlineStr"/>
      <c r="F29" s="165" t="inlineStr"/>
      <c r="G29" s="34" t="inlineStr"/>
      <c r="H29" s="165" t="inlineStr"/>
      <c r="I29" s="163" t="inlineStr">
        <is>
          <t>Open</t>
        </is>
      </c>
      <c r="J29" s="34" t="inlineStr"/>
    </row>
    <row r="30" ht="30" customHeight="1">
      <c r="A30" s="159" t="inlineStr">
        <is>
          <t>AQ-027</t>
        </is>
      </c>
      <c r="B30" s="156" t="inlineStr"/>
      <c r="C30" s="156" t="inlineStr"/>
      <c r="D30" s="40" t="inlineStr"/>
      <c r="E30" s="156" t="inlineStr"/>
      <c r="F30" s="156" t="inlineStr"/>
      <c r="G30" s="40" t="inlineStr"/>
      <c r="H30" s="156" t="inlineStr"/>
      <c r="I30" s="163" t="inlineStr">
        <is>
          <t>Open</t>
        </is>
      </c>
      <c r="J30" s="40" t="inlineStr"/>
    </row>
    <row r="31" ht="30" customHeight="1">
      <c r="A31" s="159" t="inlineStr">
        <is>
          <t>AQ-028</t>
        </is>
      </c>
      <c r="B31" s="165" t="inlineStr"/>
      <c r="C31" s="165" t="inlineStr"/>
      <c r="D31" s="34" t="inlineStr"/>
      <c r="E31" s="165" t="inlineStr"/>
      <c r="F31" s="165" t="inlineStr"/>
      <c r="G31" s="34" t="inlineStr"/>
      <c r="H31" s="165" t="inlineStr"/>
      <c r="I31" s="163" t="inlineStr">
        <is>
          <t>Open</t>
        </is>
      </c>
      <c r="J31" s="34" t="inlineStr"/>
    </row>
    <row r="32" ht="30" customHeight="1">
      <c r="A32" s="159" t="inlineStr">
        <is>
          <t>AQ-029</t>
        </is>
      </c>
      <c r="B32" s="156" t="inlineStr"/>
      <c r="C32" s="156" t="inlineStr"/>
      <c r="D32" s="40" t="inlineStr"/>
      <c r="E32" s="156" t="inlineStr"/>
      <c r="F32" s="156" t="inlineStr"/>
      <c r="G32" s="40" t="inlineStr"/>
      <c r="H32" s="156" t="inlineStr"/>
      <c r="I32" s="163" t="inlineStr">
        <is>
          <t>Open</t>
        </is>
      </c>
      <c r="J32" s="40" t="inlineStr"/>
    </row>
    <row r="33" ht="30" customHeight="1">
      <c r="A33" s="159" t="inlineStr">
        <is>
          <t>AQ-030</t>
        </is>
      </c>
      <c r="B33" s="165" t="inlineStr"/>
      <c r="C33" s="165" t="inlineStr"/>
      <c r="D33" s="34" t="inlineStr"/>
      <c r="E33" s="165" t="inlineStr"/>
      <c r="F33" s="165" t="inlineStr"/>
      <c r="G33" s="34" t="inlineStr"/>
      <c r="H33" s="165" t="inlineStr"/>
      <c r="I33" s="163" t="inlineStr">
        <is>
          <t>Open</t>
        </is>
      </c>
      <c r="J33" s="34" t="inlineStr"/>
    </row>
  </sheetData>
  <mergeCells count="2">
    <mergeCell ref="A1:J1"/>
    <mergeCell ref="A2:J2"/>
  </mergeCells>
  <dataValidations count="2">
    <dataValidation sqref="I4:I34" showDropDown="0" showInputMessage="0" showErrorMessage="0" allowBlank="1" type="list">
      <formula1>"Open,Replied — Satisfactory,Replied — Unsatisfactory,Escalated,Closed"</formula1>
    </dataValidation>
    <dataValidation sqref="C4:C34" showDropDown="0" showInputMessage="0" showErrorMessage="0" allowBlank="1" type="list">
      <formula1>"Revenue,Purchases,Fixed Assets,Investments,Loans,Debtors,Creditors,Cash,Payroll,Tax,RPT,Other"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5" customWidth="1" min="2" max="2"/>
    <col width="20" customWidth="1" min="3" max="3"/>
    <col width="12" customWidth="1" min="4" max="4"/>
    <col width="12" customWidth="1" min="5" max="5"/>
    <col width="12" customWidth="1" min="6" max="6"/>
    <col width="12" customWidth="1" min="7" max="7"/>
    <col width="13" customWidth="1" min="8" max="8"/>
    <col width="15" customWidth="1" min="9" max="9"/>
    <col width="20" customWidth="1" min="10" max="10"/>
  </cols>
  <sheetData>
    <row r="1">
      <c r="A1" s="30" t="inlineStr">
        <is>
          <t>WORKING PAPER INDEX  |  FY 2025-26</t>
        </is>
      </c>
    </row>
    <row r="2">
      <c r="A2" s="31" t="inlineStr">
        <is>
          <t>Document all working papers prepared during the audit. Cross-reference to audit procedures.</t>
        </is>
      </c>
    </row>
    <row r="3">
      <c r="A3" s="22" t="inlineStr">
        <is>
          <t>WP Ref No.</t>
        </is>
      </c>
      <c r="B3" s="22" t="inlineStr">
        <is>
          <t>Description of Working Paper</t>
        </is>
      </c>
      <c r="C3" s="22" t="inlineStr">
        <is>
          <t>Area / Section</t>
        </is>
      </c>
      <c r="D3" s="22" t="inlineStr">
        <is>
          <t>Prepared By</t>
        </is>
      </c>
      <c r="E3" s="22" t="inlineStr">
        <is>
          <t>Date Prepared</t>
        </is>
      </c>
      <c r="F3" s="22" t="inlineStr">
        <is>
          <t>Reviewed By</t>
        </is>
      </c>
      <c r="G3" s="22" t="inlineStr">
        <is>
          <t>Date Reviewed</t>
        </is>
      </c>
      <c r="H3" s="22" t="inlineStr">
        <is>
          <t>Status</t>
        </is>
      </c>
      <c r="I3" s="22" t="inlineStr">
        <is>
          <t>Physical / Soft Copy</t>
        </is>
      </c>
      <c r="J3" s="22" t="inlineStr">
        <is>
          <t>Remarks</t>
        </is>
      </c>
    </row>
    <row r="4" ht="22" customHeight="1">
      <c r="A4" s="159" t="inlineStr">
        <is>
          <t>WP-01</t>
        </is>
      </c>
      <c r="B4" s="34" t="inlineStr">
        <is>
          <t>Audit Planning Memorandum</t>
        </is>
      </c>
      <c r="C4" s="165" t="inlineStr">
        <is>
          <t>Planning</t>
        </is>
      </c>
      <c r="D4" s="165" t="inlineStr"/>
      <c r="E4" s="165" t="inlineStr"/>
      <c r="F4" s="165" t="inlineStr"/>
      <c r="G4" s="165" t="inlineStr"/>
      <c r="H4" s="163" t="inlineStr">
        <is>
          <t>Pending</t>
        </is>
      </c>
      <c r="I4" s="156" t="inlineStr">
        <is>
          <t>Soft Copy</t>
        </is>
      </c>
      <c r="J4" s="34" t="inlineStr"/>
    </row>
    <row r="5" ht="22" customHeight="1">
      <c r="A5" s="159" t="inlineStr">
        <is>
          <t>WP-02</t>
        </is>
      </c>
      <c r="B5" s="40" t="inlineStr">
        <is>
          <t>Risk Assessment — Entity Level</t>
        </is>
      </c>
      <c r="C5" s="156" t="inlineStr">
        <is>
          <t>Planning</t>
        </is>
      </c>
      <c r="D5" s="156" t="inlineStr"/>
      <c r="E5" s="156" t="inlineStr"/>
      <c r="F5" s="156" t="inlineStr"/>
      <c r="G5" s="156" t="inlineStr"/>
      <c r="H5" s="163" t="inlineStr">
        <is>
          <t>Pending</t>
        </is>
      </c>
      <c r="I5" s="156" t="inlineStr">
        <is>
          <t>Soft Copy</t>
        </is>
      </c>
      <c r="J5" s="40" t="inlineStr"/>
    </row>
    <row r="6" ht="22" customHeight="1">
      <c r="A6" s="159" t="inlineStr">
        <is>
          <t>WP-03</t>
        </is>
      </c>
      <c r="B6" s="34" t="inlineStr">
        <is>
          <t>Materiality Computation</t>
        </is>
      </c>
      <c r="C6" s="165" t="inlineStr">
        <is>
          <t>Planning</t>
        </is>
      </c>
      <c r="D6" s="165" t="inlineStr"/>
      <c r="E6" s="165" t="inlineStr"/>
      <c r="F6" s="165" t="inlineStr"/>
      <c r="G6" s="165" t="inlineStr"/>
      <c r="H6" s="163" t="inlineStr">
        <is>
          <t>Pending</t>
        </is>
      </c>
      <c r="I6" s="156" t="inlineStr">
        <is>
          <t>Soft Copy</t>
        </is>
      </c>
      <c r="J6" s="34" t="inlineStr"/>
    </row>
    <row r="7" ht="22" customHeight="1">
      <c r="A7" s="159" t="inlineStr">
        <is>
          <t>WP-04</t>
        </is>
      </c>
      <c r="B7" s="40" t="inlineStr">
        <is>
          <t>Engagement Letter</t>
        </is>
      </c>
      <c r="C7" s="156" t="inlineStr">
        <is>
          <t>Planning</t>
        </is>
      </c>
      <c r="D7" s="156" t="inlineStr"/>
      <c r="E7" s="156" t="inlineStr"/>
      <c r="F7" s="156" t="inlineStr"/>
      <c r="G7" s="156" t="inlineStr"/>
      <c r="H7" s="163" t="inlineStr">
        <is>
          <t>Pending</t>
        </is>
      </c>
      <c r="I7" s="156" t="inlineStr">
        <is>
          <t>Soft Copy</t>
        </is>
      </c>
      <c r="J7" s="40" t="inlineStr"/>
    </row>
    <row r="8" ht="22" customHeight="1">
      <c r="A8" s="159" t="inlineStr">
        <is>
          <t>WP-05</t>
        </is>
      </c>
      <c r="B8" s="34" t="inlineStr">
        <is>
          <t>Time Budget</t>
        </is>
      </c>
      <c r="C8" s="165" t="inlineStr">
        <is>
          <t>Planning</t>
        </is>
      </c>
      <c r="D8" s="165" t="inlineStr"/>
      <c r="E8" s="165" t="inlineStr"/>
      <c r="F8" s="165" t="inlineStr"/>
      <c r="G8" s="165" t="inlineStr"/>
      <c r="H8" s="163" t="inlineStr">
        <is>
          <t>Pending</t>
        </is>
      </c>
      <c r="I8" s="156" t="inlineStr">
        <is>
          <t>Soft Copy</t>
        </is>
      </c>
      <c r="J8" s="34" t="inlineStr"/>
    </row>
    <row r="9" ht="22" customHeight="1">
      <c r="A9" s="159" t="inlineStr">
        <is>
          <t>WP-06</t>
        </is>
      </c>
      <c r="B9" s="40" t="inlineStr">
        <is>
          <t>Share Capital — Verification</t>
        </is>
      </c>
      <c r="C9" s="156" t="inlineStr">
        <is>
          <t>Share Capital</t>
        </is>
      </c>
      <c r="D9" s="156" t="inlineStr"/>
      <c r="E9" s="156" t="inlineStr"/>
      <c r="F9" s="156" t="inlineStr"/>
      <c r="G9" s="156" t="inlineStr"/>
      <c r="H9" s="163" t="inlineStr">
        <is>
          <t>Pending</t>
        </is>
      </c>
      <c r="I9" s="156" t="inlineStr">
        <is>
          <t>Soft Copy</t>
        </is>
      </c>
      <c r="J9" s="40" t="inlineStr"/>
    </row>
    <row r="10" ht="22" customHeight="1">
      <c r="A10" s="159" t="inlineStr">
        <is>
          <t>WP-07</t>
        </is>
      </c>
      <c r="B10" s="34" t="inlineStr">
        <is>
          <t>Share Capital Reconciliation</t>
        </is>
      </c>
      <c r="C10" s="165" t="inlineStr">
        <is>
          <t>Share Capital</t>
        </is>
      </c>
      <c r="D10" s="165" t="inlineStr"/>
      <c r="E10" s="165" t="inlineStr"/>
      <c r="F10" s="165" t="inlineStr"/>
      <c r="G10" s="165" t="inlineStr"/>
      <c r="H10" s="163" t="inlineStr">
        <is>
          <t>Pending</t>
        </is>
      </c>
      <c r="I10" s="156" t="inlineStr">
        <is>
          <t>Soft Copy</t>
        </is>
      </c>
      <c r="J10" s="34" t="inlineStr"/>
    </row>
    <row r="11" ht="22" customHeight="1">
      <c r="A11" s="159" t="inlineStr">
        <is>
          <t>WP-08</t>
        </is>
      </c>
      <c r="B11" s="40" t="inlineStr">
        <is>
          <t>Fixed Asset Register — Reconciliation</t>
        </is>
      </c>
      <c r="C11" s="156" t="inlineStr">
        <is>
          <t>Fixed Assets</t>
        </is>
      </c>
      <c r="D11" s="156" t="inlineStr"/>
      <c r="E11" s="156" t="inlineStr"/>
      <c r="F11" s="156" t="inlineStr"/>
      <c r="G11" s="156" t="inlineStr"/>
      <c r="H11" s="163" t="inlineStr">
        <is>
          <t>Pending</t>
        </is>
      </c>
      <c r="I11" s="156" t="inlineStr">
        <is>
          <t>Soft Copy</t>
        </is>
      </c>
      <c r="J11" s="40" t="inlineStr"/>
    </row>
    <row r="12" ht="22" customHeight="1">
      <c r="A12" s="159" t="inlineStr">
        <is>
          <t>WP-09</t>
        </is>
      </c>
      <c r="B12" s="34" t="inlineStr">
        <is>
          <t>Depreciation Computation — Schedule II</t>
        </is>
      </c>
      <c r="C12" s="165" t="inlineStr">
        <is>
          <t>Fixed Assets</t>
        </is>
      </c>
      <c r="D12" s="165" t="inlineStr"/>
      <c r="E12" s="165" t="inlineStr"/>
      <c r="F12" s="165" t="inlineStr"/>
      <c r="G12" s="165" t="inlineStr"/>
      <c r="H12" s="163" t="inlineStr">
        <is>
          <t>Pending</t>
        </is>
      </c>
      <c r="I12" s="156" t="inlineStr">
        <is>
          <t>Soft Copy</t>
        </is>
      </c>
      <c r="J12" s="34" t="inlineStr"/>
    </row>
    <row r="13" ht="22" customHeight="1">
      <c r="A13" s="159" t="inlineStr">
        <is>
          <t>WP-10</t>
        </is>
      </c>
      <c r="B13" s="40" t="inlineStr">
        <is>
          <t>Physical Verification Report</t>
        </is>
      </c>
      <c r="C13" s="156" t="inlineStr">
        <is>
          <t>Fixed Assets</t>
        </is>
      </c>
      <c r="D13" s="156" t="inlineStr"/>
      <c r="E13" s="156" t="inlineStr"/>
      <c r="F13" s="156" t="inlineStr"/>
      <c r="G13" s="156" t="inlineStr"/>
      <c r="H13" s="163" t="inlineStr">
        <is>
          <t>Pending</t>
        </is>
      </c>
      <c r="I13" s="156" t="inlineStr">
        <is>
          <t>Soft Copy</t>
        </is>
      </c>
      <c r="J13" s="40" t="inlineStr"/>
    </row>
    <row r="14" ht="22" customHeight="1">
      <c r="A14" s="159" t="inlineStr">
        <is>
          <t>WP-11</t>
        </is>
      </c>
      <c r="B14" s="34" t="inlineStr">
        <is>
          <t>Investments Schedule — Verification</t>
        </is>
      </c>
      <c r="C14" s="165" t="inlineStr">
        <is>
          <t>Investments</t>
        </is>
      </c>
      <c r="D14" s="165" t="inlineStr"/>
      <c r="E14" s="165" t="inlineStr"/>
      <c r="F14" s="165" t="inlineStr"/>
      <c r="G14" s="165" t="inlineStr"/>
      <c r="H14" s="163" t="inlineStr">
        <is>
          <t>Pending</t>
        </is>
      </c>
      <c r="I14" s="156" t="inlineStr">
        <is>
          <t>Soft Copy</t>
        </is>
      </c>
      <c r="J14" s="34" t="inlineStr"/>
    </row>
    <row r="15" ht="22" customHeight="1">
      <c r="A15" s="159" t="inlineStr">
        <is>
          <t>WP-12</t>
        </is>
      </c>
      <c r="B15" s="40" t="inlineStr">
        <is>
          <t>Inventory — Physical Count Sheets</t>
        </is>
      </c>
      <c r="C15" s="156" t="inlineStr">
        <is>
          <t>Inventories</t>
        </is>
      </c>
      <c r="D15" s="156" t="inlineStr"/>
      <c r="E15" s="156" t="inlineStr"/>
      <c r="F15" s="156" t="inlineStr"/>
      <c r="G15" s="156" t="inlineStr"/>
      <c r="H15" s="163" t="inlineStr">
        <is>
          <t>Pending</t>
        </is>
      </c>
      <c r="I15" s="156" t="inlineStr">
        <is>
          <t>Soft Copy</t>
        </is>
      </c>
      <c r="J15" s="40" t="inlineStr"/>
    </row>
    <row r="16" ht="22" customHeight="1">
      <c r="A16" s="159" t="inlineStr">
        <is>
          <t>WP-13</t>
        </is>
      </c>
      <c r="B16" s="34" t="inlineStr">
        <is>
          <t>Inventory Valuation Working</t>
        </is>
      </c>
      <c r="C16" s="165" t="inlineStr">
        <is>
          <t>Inventories</t>
        </is>
      </c>
      <c r="D16" s="165" t="inlineStr"/>
      <c r="E16" s="165" t="inlineStr"/>
      <c r="F16" s="165" t="inlineStr"/>
      <c r="G16" s="165" t="inlineStr"/>
      <c r="H16" s="163" t="inlineStr">
        <is>
          <t>Pending</t>
        </is>
      </c>
      <c r="I16" s="156" t="inlineStr">
        <is>
          <t>Soft Copy</t>
        </is>
      </c>
      <c r="J16" s="34" t="inlineStr"/>
    </row>
    <row r="17" ht="22" customHeight="1">
      <c r="A17" s="159" t="inlineStr">
        <is>
          <t>WP-14</t>
        </is>
      </c>
      <c r="B17" s="40" t="inlineStr">
        <is>
          <t>Debtors Age-wise Schedule</t>
        </is>
      </c>
      <c r="C17" s="156" t="inlineStr">
        <is>
          <t>Debtors</t>
        </is>
      </c>
      <c r="D17" s="156" t="inlineStr"/>
      <c r="E17" s="156" t="inlineStr"/>
      <c r="F17" s="156" t="inlineStr"/>
      <c r="G17" s="156" t="inlineStr"/>
      <c r="H17" s="163" t="inlineStr">
        <is>
          <t>Pending</t>
        </is>
      </c>
      <c r="I17" s="156" t="inlineStr">
        <is>
          <t>Soft Copy</t>
        </is>
      </c>
      <c r="J17" s="40" t="inlineStr"/>
    </row>
    <row r="18" ht="22" customHeight="1">
      <c r="A18" s="159" t="inlineStr">
        <is>
          <t>WP-15</t>
        </is>
      </c>
      <c r="B18" s="34" t="inlineStr">
        <is>
          <t>Bad Debt Provision Working (ECL)</t>
        </is>
      </c>
      <c r="C18" s="165" t="inlineStr">
        <is>
          <t>Debtors</t>
        </is>
      </c>
      <c r="D18" s="165" t="inlineStr"/>
      <c r="E18" s="165" t="inlineStr"/>
      <c r="F18" s="165" t="inlineStr"/>
      <c r="G18" s="165" t="inlineStr"/>
      <c r="H18" s="163" t="inlineStr">
        <is>
          <t>Pending</t>
        </is>
      </c>
      <c r="I18" s="156" t="inlineStr">
        <is>
          <t>Soft Copy</t>
        </is>
      </c>
      <c r="J18" s="34" t="inlineStr"/>
    </row>
    <row r="19" ht="22" customHeight="1">
      <c r="A19" s="159" t="inlineStr">
        <is>
          <t>WP-16</t>
        </is>
      </c>
      <c r="B19" s="40" t="inlineStr">
        <is>
          <t>Debtors Confirmation Responses</t>
        </is>
      </c>
      <c r="C19" s="156" t="inlineStr">
        <is>
          <t>Debtors</t>
        </is>
      </c>
      <c r="D19" s="156" t="inlineStr"/>
      <c r="E19" s="156" t="inlineStr"/>
      <c r="F19" s="156" t="inlineStr"/>
      <c r="G19" s="156" t="inlineStr"/>
      <c r="H19" s="163" t="inlineStr">
        <is>
          <t>Pending</t>
        </is>
      </c>
      <c r="I19" s="156" t="inlineStr">
        <is>
          <t>Soft Copy</t>
        </is>
      </c>
      <c r="J19" s="40" t="inlineStr"/>
    </row>
    <row r="20" ht="22" customHeight="1">
      <c r="A20" s="159" t="inlineStr">
        <is>
          <t>WP-17</t>
        </is>
      </c>
      <c r="B20" s="34" t="inlineStr">
        <is>
          <t>Revenue Reconciliation — Books vs GST</t>
        </is>
      </c>
      <c r="C20" s="165" t="inlineStr">
        <is>
          <t>Revenue</t>
        </is>
      </c>
      <c r="D20" s="165" t="inlineStr"/>
      <c r="E20" s="165" t="inlineStr"/>
      <c r="F20" s="165" t="inlineStr"/>
      <c r="G20" s="165" t="inlineStr"/>
      <c r="H20" s="163" t="inlineStr">
        <is>
          <t>Pending</t>
        </is>
      </c>
      <c r="I20" s="156" t="inlineStr">
        <is>
          <t>Soft Copy</t>
        </is>
      </c>
      <c r="J20" s="34" t="inlineStr"/>
    </row>
    <row r="21" ht="22" customHeight="1">
      <c r="A21" s="159" t="inlineStr">
        <is>
          <t>WP-18</t>
        </is>
      </c>
      <c r="B21" s="40" t="inlineStr">
        <is>
          <t>Cut-off Testing — Revenue</t>
        </is>
      </c>
      <c r="C21" s="156" t="inlineStr">
        <is>
          <t>Revenue</t>
        </is>
      </c>
      <c r="D21" s="156" t="inlineStr"/>
      <c r="E21" s="156" t="inlineStr"/>
      <c r="F21" s="156" t="inlineStr"/>
      <c r="G21" s="156" t="inlineStr"/>
      <c r="H21" s="163" t="inlineStr">
        <is>
          <t>Pending</t>
        </is>
      </c>
      <c r="I21" s="156" t="inlineStr">
        <is>
          <t>Soft Copy</t>
        </is>
      </c>
      <c r="J21" s="40" t="inlineStr"/>
    </row>
    <row r="22" ht="22" customHeight="1">
      <c r="A22" s="159" t="inlineStr">
        <is>
          <t>WP-19</t>
        </is>
      </c>
      <c r="B22" s="34" t="inlineStr">
        <is>
          <t>Bank Reconciliation — All Accounts</t>
        </is>
      </c>
      <c r="C22" s="165" t="inlineStr">
        <is>
          <t>Cash &amp; Bank</t>
        </is>
      </c>
      <c r="D22" s="165" t="inlineStr"/>
      <c r="E22" s="165" t="inlineStr"/>
      <c r="F22" s="165" t="inlineStr"/>
      <c r="G22" s="165" t="inlineStr"/>
      <c r="H22" s="163" t="inlineStr">
        <is>
          <t>Pending</t>
        </is>
      </c>
      <c r="I22" s="156" t="inlineStr">
        <is>
          <t>Soft Copy</t>
        </is>
      </c>
      <c r="J22" s="34" t="inlineStr"/>
    </row>
    <row r="23" ht="22" customHeight="1">
      <c r="A23" s="159" t="inlineStr">
        <is>
          <t>WP-20</t>
        </is>
      </c>
      <c r="B23" s="40" t="inlineStr">
        <is>
          <t>Bank Confirmation Letters</t>
        </is>
      </c>
      <c r="C23" s="156" t="inlineStr">
        <is>
          <t>Cash &amp; Bank</t>
        </is>
      </c>
      <c r="D23" s="156" t="inlineStr"/>
      <c r="E23" s="156" t="inlineStr"/>
      <c r="F23" s="156" t="inlineStr"/>
      <c r="G23" s="156" t="inlineStr"/>
      <c r="H23" s="163" t="inlineStr">
        <is>
          <t>Pending</t>
        </is>
      </c>
      <c r="I23" s="156" t="inlineStr">
        <is>
          <t>Soft Copy</t>
        </is>
      </c>
      <c r="J23" s="40" t="inlineStr"/>
    </row>
    <row r="24" ht="22" customHeight="1">
      <c r="A24" s="159" t="inlineStr">
        <is>
          <t>WP-21</t>
        </is>
      </c>
      <c r="B24" s="34" t="inlineStr">
        <is>
          <t>Creditors Age-wise Schedule</t>
        </is>
      </c>
      <c r="C24" s="165" t="inlineStr">
        <is>
          <t>Creditors</t>
        </is>
      </c>
      <c r="D24" s="165" t="inlineStr"/>
      <c r="E24" s="165" t="inlineStr"/>
      <c r="F24" s="165" t="inlineStr"/>
      <c r="G24" s="165" t="inlineStr"/>
      <c r="H24" s="163" t="inlineStr">
        <is>
          <t>Pending</t>
        </is>
      </c>
      <c r="I24" s="156" t="inlineStr">
        <is>
          <t>Soft Copy</t>
        </is>
      </c>
      <c r="J24" s="34" t="inlineStr"/>
    </row>
    <row r="25" ht="22" customHeight="1">
      <c r="A25" s="159" t="inlineStr">
        <is>
          <t>WP-22</t>
        </is>
      </c>
      <c r="B25" s="40" t="inlineStr">
        <is>
          <t>MSME Outstanding &gt;45 Days Listing</t>
        </is>
      </c>
      <c r="C25" s="156" t="inlineStr">
        <is>
          <t>Creditors</t>
        </is>
      </c>
      <c r="D25" s="156" t="inlineStr"/>
      <c r="E25" s="156" t="inlineStr"/>
      <c r="F25" s="156" t="inlineStr"/>
      <c r="G25" s="156" t="inlineStr"/>
      <c r="H25" s="163" t="inlineStr">
        <is>
          <t>Pending</t>
        </is>
      </c>
      <c r="I25" s="156" t="inlineStr">
        <is>
          <t>Soft Copy</t>
        </is>
      </c>
      <c r="J25" s="40" t="inlineStr"/>
    </row>
    <row r="26" ht="22" customHeight="1">
      <c r="A26" s="159" t="inlineStr">
        <is>
          <t>WP-23</t>
        </is>
      </c>
      <c r="B26" s="34" t="inlineStr">
        <is>
          <t>Creditors Confirmation Responses</t>
        </is>
      </c>
      <c r="C26" s="165" t="inlineStr">
        <is>
          <t>Creditors</t>
        </is>
      </c>
      <c r="D26" s="165" t="inlineStr"/>
      <c r="E26" s="165" t="inlineStr"/>
      <c r="F26" s="165" t="inlineStr"/>
      <c r="G26" s="165" t="inlineStr"/>
      <c r="H26" s="163" t="inlineStr">
        <is>
          <t>Pending</t>
        </is>
      </c>
      <c r="I26" s="156" t="inlineStr">
        <is>
          <t>Soft Copy</t>
        </is>
      </c>
      <c r="J26" s="34" t="inlineStr"/>
    </row>
    <row r="27" ht="22" customHeight="1">
      <c r="A27" s="159" t="inlineStr">
        <is>
          <t>WP-24</t>
        </is>
      </c>
      <c r="B27" s="40" t="inlineStr">
        <is>
          <t>Loans — Term Loan Reconciliation</t>
        </is>
      </c>
      <c r="C27" s="156" t="inlineStr">
        <is>
          <t>Borrowings</t>
        </is>
      </c>
      <c r="D27" s="156" t="inlineStr"/>
      <c r="E27" s="156" t="inlineStr"/>
      <c r="F27" s="156" t="inlineStr"/>
      <c r="G27" s="156" t="inlineStr"/>
      <c r="H27" s="163" t="inlineStr">
        <is>
          <t>Pending</t>
        </is>
      </c>
      <c r="I27" s="156" t="inlineStr">
        <is>
          <t>Soft Copy</t>
        </is>
      </c>
      <c r="J27" s="40" t="inlineStr"/>
    </row>
    <row r="28" ht="22" customHeight="1">
      <c r="A28" s="159" t="inlineStr">
        <is>
          <t>WP-25</t>
        </is>
      </c>
      <c r="B28" s="34" t="inlineStr">
        <is>
          <t>Charges Register — CHG-1 Verification</t>
        </is>
      </c>
      <c r="C28" s="165" t="inlineStr">
        <is>
          <t>Borrowings</t>
        </is>
      </c>
      <c r="D28" s="165" t="inlineStr"/>
      <c r="E28" s="165" t="inlineStr"/>
      <c r="F28" s="165" t="inlineStr"/>
      <c r="G28" s="165" t="inlineStr"/>
      <c r="H28" s="163" t="inlineStr">
        <is>
          <t>Pending</t>
        </is>
      </c>
      <c r="I28" s="156" t="inlineStr">
        <is>
          <t>Soft Copy</t>
        </is>
      </c>
      <c r="J28" s="34" t="inlineStr"/>
    </row>
    <row r="29" ht="22" customHeight="1">
      <c r="A29" s="159" t="inlineStr">
        <is>
          <t>WP-26</t>
        </is>
      </c>
      <c r="B29" s="40" t="inlineStr">
        <is>
          <t>Related Party Transactions Working</t>
        </is>
      </c>
      <c r="C29" s="156" t="inlineStr">
        <is>
          <t>RPT</t>
        </is>
      </c>
      <c r="D29" s="156" t="inlineStr"/>
      <c r="E29" s="156" t="inlineStr"/>
      <c r="F29" s="156" t="inlineStr"/>
      <c r="G29" s="156" t="inlineStr"/>
      <c r="H29" s="163" t="inlineStr">
        <is>
          <t>Pending</t>
        </is>
      </c>
      <c r="I29" s="156" t="inlineStr">
        <is>
          <t>Soft Copy</t>
        </is>
      </c>
      <c r="J29" s="40" t="inlineStr"/>
    </row>
    <row r="30" ht="22" customHeight="1">
      <c r="A30" s="159" t="inlineStr">
        <is>
          <t>WP-27</t>
        </is>
      </c>
      <c r="B30" s="34" t="inlineStr">
        <is>
          <t>Audit Committee Approvals — RPT</t>
        </is>
      </c>
      <c r="C30" s="165" t="inlineStr">
        <is>
          <t>RPT</t>
        </is>
      </c>
      <c r="D30" s="165" t="inlineStr"/>
      <c r="E30" s="165" t="inlineStr"/>
      <c r="F30" s="165" t="inlineStr"/>
      <c r="G30" s="165" t="inlineStr"/>
      <c r="H30" s="163" t="inlineStr">
        <is>
          <t>Pending</t>
        </is>
      </c>
      <c r="I30" s="156" t="inlineStr">
        <is>
          <t>Soft Copy</t>
        </is>
      </c>
      <c r="J30" s="34" t="inlineStr"/>
    </row>
    <row r="31" ht="22" customHeight="1">
      <c r="A31" s="159" t="inlineStr">
        <is>
          <t>WP-28</t>
        </is>
      </c>
      <c r="B31" s="40" t="inlineStr">
        <is>
          <t>Provision for Gratuity — Actuarial Report</t>
        </is>
      </c>
      <c r="C31" s="156" t="inlineStr">
        <is>
          <t>Provisions</t>
        </is>
      </c>
      <c r="D31" s="156" t="inlineStr"/>
      <c r="E31" s="156" t="inlineStr"/>
      <c r="F31" s="156" t="inlineStr"/>
      <c r="G31" s="156" t="inlineStr"/>
      <c r="H31" s="163" t="inlineStr">
        <is>
          <t>Pending</t>
        </is>
      </c>
      <c r="I31" s="156" t="inlineStr">
        <is>
          <t>Soft Copy</t>
        </is>
      </c>
      <c r="J31" s="40" t="inlineStr"/>
    </row>
    <row r="32" ht="22" customHeight="1">
      <c r="A32" s="159" t="inlineStr">
        <is>
          <t>WP-29</t>
        </is>
      </c>
      <c r="B32" s="34" t="inlineStr">
        <is>
          <t>Provision for Income Tax Working</t>
        </is>
      </c>
      <c r="C32" s="165" t="inlineStr">
        <is>
          <t>Tax</t>
        </is>
      </c>
      <c r="D32" s="165" t="inlineStr"/>
      <c r="E32" s="165" t="inlineStr"/>
      <c r="F32" s="165" t="inlineStr"/>
      <c r="G32" s="165" t="inlineStr"/>
      <c r="H32" s="163" t="inlineStr">
        <is>
          <t>Pending</t>
        </is>
      </c>
      <c r="I32" s="156" t="inlineStr">
        <is>
          <t>Soft Copy</t>
        </is>
      </c>
      <c r="J32" s="34" t="inlineStr"/>
    </row>
    <row r="33" ht="22" customHeight="1">
      <c r="A33" s="159" t="inlineStr">
        <is>
          <t>WP-30</t>
        </is>
      </c>
      <c r="B33" s="40" t="inlineStr">
        <is>
          <t>Deferred Tax Computation</t>
        </is>
      </c>
      <c r="C33" s="156" t="inlineStr">
        <is>
          <t>Tax</t>
        </is>
      </c>
      <c r="D33" s="156" t="inlineStr"/>
      <c r="E33" s="156" t="inlineStr"/>
      <c r="F33" s="156" t="inlineStr"/>
      <c r="G33" s="156" t="inlineStr"/>
      <c r="H33" s="163" t="inlineStr">
        <is>
          <t>Pending</t>
        </is>
      </c>
      <c r="I33" s="156" t="inlineStr">
        <is>
          <t>Soft Copy</t>
        </is>
      </c>
      <c r="J33" s="40" t="inlineStr"/>
    </row>
    <row r="34" ht="22" customHeight="1">
      <c r="A34" s="159" t="inlineStr">
        <is>
          <t>WP-31</t>
        </is>
      </c>
      <c r="B34" s="34" t="inlineStr">
        <is>
          <t>TDS Summary — 26AS vs Books</t>
        </is>
      </c>
      <c r="C34" s="165" t="inlineStr">
        <is>
          <t>TDS</t>
        </is>
      </c>
      <c r="D34" s="165" t="inlineStr"/>
      <c r="E34" s="165" t="inlineStr"/>
      <c r="F34" s="165" t="inlineStr"/>
      <c r="G34" s="165" t="inlineStr"/>
      <c r="H34" s="163" t="inlineStr">
        <is>
          <t>Pending</t>
        </is>
      </c>
      <c r="I34" s="156" t="inlineStr">
        <is>
          <t>Soft Copy</t>
        </is>
      </c>
      <c r="J34" s="34" t="inlineStr"/>
    </row>
    <row r="35" ht="22" customHeight="1">
      <c r="A35" s="159" t="inlineStr">
        <is>
          <t>WP-32</t>
        </is>
      </c>
      <c r="B35" s="40" t="inlineStr">
        <is>
          <t>Sec 43B — Payments Verification</t>
        </is>
      </c>
      <c r="C35" s="156" t="inlineStr">
        <is>
          <t>Tax</t>
        </is>
      </c>
      <c r="D35" s="156" t="inlineStr"/>
      <c r="E35" s="156" t="inlineStr"/>
      <c r="F35" s="156" t="inlineStr"/>
      <c r="G35" s="156" t="inlineStr"/>
      <c r="H35" s="163" t="inlineStr">
        <is>
          <t>Pending</t>
        </is>
      </c>
      <c r="I35" s="156" t="inlineStr">
        <is>
          <t>Soft Copy</t>
        </is>
      </c>
      <c r="J35" s="40" t="inlineStr"/>
    </row>
    <row r="36" ht="22" customHeight="1">
      <c r="A36" s="159" t="inlineStr">
        <is>
          <t>WP-33</t>
        </is>
      </c>
      <c r="B36" s="34" t="inlineStr">
        <is>
          <t>CARO 2020 Working File</t>
        </is>
      </c>
      <c r="C36" s="165" t="inlineStr">
        <is>
          <t>CARO</t>
        </is>
      </c>
      <c r="D36" s="165" t="inlineStr"/>
      <c r="E36" s="165" t="inlineStr"/>
      <c r="F36" s="165" t="inlineStr"/>
      <c r="G36" s="165" t="inlineStr"/>
      <c r="H36" s="163" t="inlineStr">
        <is>
          <t>Pending</t>
        </is>
      </c>
      <c r="I36" s="156" t="inlineStr">
        <is>
          <t>Soft Copy</t>
        </is>
      </c>
      <c r="J36" s="34" t="inlineStr"/>
    </row>
    <row r="37" ht="22" customHeight="1">
      <c r="A37" s="159" t="inlineStr">
        <is>
          <t>WP-34</t>
        </is>
      </c>
      <c r="B37" s="40" t="inlineStr">
        <is>
          <t>Analytical Review — Ratio Analysis</t>
        </is>
      </c>
      <c r="C37" s="156" t="inlineStr">
        <is>
          <t>Analytics</t>
        </is>
      </c>
      <c r="D37" s="156" t="inlineStr"/>
      <c r="E37" s="156" t="inlineStr"/>
      <c r="F37" s="156" t="inlineStr"/>
      <c r="G37" s="156" t="inlineStr"/>
      <c r="H37" s="163" t="inlineStr">
        <is>
          <t>Pending</t>
        </is>
      </c>
      <c r="I37" s="156" t="inlineStr">
        <is>
          <t>Soft Copy</t>
        </is>
      </c>
      <c r="J37" s="40" t="inlineStr"/>
    </row>
    <row r="38" ht="22" customHeight="1">
      <c r="A38" s="159" t="inlineStr">
        <is>
          <t>WP-35</t>
        </is>
      </c>
      <c r="B38" s="34" t="inlineStr">
        <is>
          <t>Management Representation Letter</t>
        </is>
      </c>
      <c r="C38" s="165" t="inlineStr">
        <is>
          <t>Completion</t>
        </is>
      </c>
      <c r="D38" s="165" t="inlineStr"/>
      <c r="E38" s="165" t="inlineStr"/>
      <c r="F38" s="165" t="inlineStr"/>
      <c r="G38" s="165" t="inlineStr"/>
      <c r="H38" s="163" t="inlineStr">
        <is>
          <t>Pending</t>
        </is>
      </c>
      <c r="I38" s="156" t="inlineStr">
        <is>
          <t>Soft Copy</t>
        </is>
      </c>
      <c r="J38" s="34" t="inlineStr"/>
    </row>
    <row r="39" ht="22" customHeight="1">
      <c r="A39" s="159" t="inlineStr">
        <is>
          <t>WP-36</t>
        </is>
      </c>
      <c r="B39" s="40" t="inlineStr">
        <is>
          <t>Legal Representation / Solicitor Letter</t>
        </is>
      </c>
      <c r="C39" s="156" t="inlineStr">
        <is>
          <t>Completion</t>
        </is>
      </c>
      <c r="D39" s="156" t="inlineStr"/>
      <c r="E39" s="156" t="inlineStr"/>
      <c r="F39" s="156" t="inlineStr"/>
      <c r="G39" s="156" t="inlineStr"/>
      <c r="H39" s="163" t="inlineStr">
        <is>
          <t>Pending</t>
        </is>
      </c>
      <c r="I39" s="156" t="inlineStr">
        <is>
          <t>Soft Copy</t>
        </is>
      </c>
      <c r="J39" s="40" t="inlineStr"/>
    </row>
    <row r="40" ht="22" customHeight="1">
      <c r="A40" s="159" t="inlineStr">
        <is>
          <t>WP-37</t>
        </is>
      </c>
      <c r="B40" s="34" t="inlineStr">
        <is>
          <t>Post Balance Sheet Events Review</t>
        </is>
      </c>
      <c r="C40" s="165" t="inlineStr">
        <is>
          <t>Completion</t>
        </is>
      </c>
      <c r="D40" s="165" t="inlineStr"/>
      <c r="E40" s="165" t="inlineStr"/>
      <c r="F40" s="165" t="inlineStr"/>
      <c r="G40" s="165" t="inlineStr"/>
      <c r="H40" s="163" t="inlineStr">
        <is>
          <t>Pending</t>
        </is>
      </c>
      <c r="I40" s="156" t="inlineStr">
        <is>
          <t>Soft Copy</t>
        </is>
      </c>
      <c r="J40" s="34" t="inlineStr"/>
    </row>
    <row r="41" ht="22" customHeight="1">
      <c r="A41" s="159" t="inlineStr">
        <is>
          <t>WP-38</t>
        </is>
      </c>
      <c r="B41" s="40" t="inlineStr">
        <is>
          <t>Draft Financial Statements — Review</t>
        </is>
      </c>
      <c r="C41" s="156" t="inlineStr">
        <is>
          <t>Completion</t>
        </is>
      </c>
      <c r="D41" s="156" t="inlineStr"/>
      <c r="E41" s="156" t="inlineStr"/>
      <c r="F41" s="156" t="inlineStr"/>
      <c r="G41" s="156" t="inlineStr"/>
      <c r="H41" s="163" t="inlineStr">
        <is>
          <t>Pending</t>
        </is>
      </c>
      <c r="I41" s="156" t="inlineStr">
        <is>
          <t>Soft Copy</t>
        </is>
      </c>
      <c r="J41" s="40" t="inlineStr"/>
    </row>
    <row r="42" ht="22" customHeight="1">
      <c r="A42" s="159" t="inlineStr">
        <is>
          <t>WP-39</t>
        </is>
      </c>
      <c r="B42" s="34" t="inlineStr">
        <is>
          <t>Audit Report — Draft and Final</t>
        </is>
      </c>
      <c r="C42" s="165" t="inlineStr">
        <is>
          <t>Completion</t>
        </is>
      </c>
      <c r="D42" s="165" t="inlineStr"/>
      <c r="E42" s="165" t="inlineStr"/>
      <c r="F42" s="165" t="inlineStr"/>
      <c r="G42" s="165" t="inlineStr"/>
      <c r="H42" s="163" t="inlineStr">
        <is>
          <t>Pending</t>
        </is>
      </c>
      <c r="I42" s="156" t="inlineStr">
        <is>
          <t>Soft Copy</t>
        </is>
      </c>
      <c r="J42" s="34" t="inlineStr"/>
    </row>
    <row r="43" ht="22" customHeight="1">
      <c r="A43" s="159" t="inlineStr">
        <is>
          <t>WP-40</t>
        </is>
      </c>
      <c r="B43" s="40" t="inlineStr">
        <is>
          <t>Form 3CD Working — All Clauses</t>
        </is>
      </c>
      <c r="C43" s="156" t="inlineStr">
        <is>
          <t>Tax Audit</t>
        </is>
      </c>
      <c r="D43" s="156" t="inlineStr"/>
      <c r="E43" s="156" t="inlineStr"/>
      <c r="F43" s="156" t="inlineStr"/>
      <c r="G43" s="156" t="inlineStr"/>
      <c r="H43" s="163" t="inlineStr">
        <is>
          <t>Pending</t>
        </is>
      </c>
      <c r="I43" s="156" t="inlineStr">
        <is>
          <t>Soft Copy</t>
        </is>
      </c>
      <c r="J43" s="40" t="inlineStr"/>
    </row>
  </sheetData>
  <mergeCells count="2">
    <mergeCell ref="A1:I1"/>
    <mergeCell ref="A2:I2"/>
  </mergeCells>
  <dataValidations count="2">
    <dataValidation sqref="H4:H44" showDropDown="0" showInputMessage="0" showErrorMessage="0" allowBlank="1" type="list">
      <formula1>"Pending,In Preparation,Prepared,Under Review,Reviewed &amp; Signed,Filed"</formula1>
    </dataValidation>
    <dataValidation sqref="I4:I44" showDropDown="0" showInputMessage="0" showErrorMessage="0" allowBlank="1" type="list">
      <formula1>"Soft Copy,Physical Copy,Both,Not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0" customWidth="1" min="2" max="2"/>
    <col width="15" customWidth="1" min="3" max="3"/>
    <col width="40" customWidth="1" min="4" max="4"/>
    <col width="25" customWidth="1" min="5" max="5"/>
    <col width="25" customWidth="1" min="6" max="6"/>
    <col width="14" customWidth="1" min="7" max="7"/>
    <col width="12" customWidth="1" min="8" max="8"/>
    <col width="12" customWidth="1" min="9" max="9"/>
    <col width="28" customWidth="1" min="10" max="10"/>
  </cols>
  <sheetData>
    <row r="1">
      <c r="A1" s="30" t="inlineStr">
        <is>
          <t>AUDIT ADJUSTING JOURNAL ENTRIES LOG  |  FY 2025-26</t>
        </is>
      </c>
    </row>
    <row r="2">
      <c r="A2" s="31" t="inlineStr">
        <is>
          <t>Record all proposed and passed adjusting entries. Track management acceptance and impact on FS.</t>
        </is>
      </c>
    </row>
    <row r="3">
      <c r="A3" s="22" t="inlineStr">
        <is>
          <t>Entry No.</t>
        </is>
      </c>
      <c r="B3" s="22" t="inlineStr">
        <is>
          <t>Date</t>
        </is>
      </c>
      <c r="C3" s="22" t="inlineStr">
        <is>
          <t>Area</t>
        </is>
      </c>
      <c r="D3" s="22" t="inlineStr">
        <is>
          <t>Description</t>
        </is>
      </c>
      <c r="E3" s="22" t="inlineStr">
        <is>
          <t>Debit Account</t>
        </is>
      </c>
      <c r="F3" s="22" t="inlineStr">
        <is>
          <t>Credit Account</t>
        </is>
      </c>
      <c r="G3" s="22" t="inlineStr">
        <is>
          <t>Amount (₹)</t>
        </is>
      </c>
      <c r="H3" s="22" t="inlineStr">
        <is>
          <t>Proposed By</t>
        </is>
      </c>
      <c r="I3" s="22" t="inlineStr">
        <is>
          <t>Accepted?</t>
        </is>
      </c>
      <c r="J3" s="22" t="inlineStr">
        <is>
          <t>Remarks / Impact</t>
        </is>
      </c>
    </row>
    <row r="4" ht="25" customHeight="1">
      <c r="A4" s="159" t="inlineStr">
        <is>
          <t>AJE-01</t>
        </is>
      </c>
      <c r="B4" s="50" t="inlineStr"/>
      <c r="C4" s="50" t="inlineStr"/>
      <c r="D4" s="50" t="inlineStr"/>
      <c r="E4" s="50" t="inlineStr"/>
      <c r="F4" s="50" t="inlineStr"/>
      <c r="G4" s="154" t="n">
        <v>0</v>
      </c>
      <c r="H4" s="50" t="inlineStr"/>
      <c r="I4" s="153" t="inlineStr"/>
      <c r="J4" s="40" t="inlineStr"/>
    </row>
    <row r="5" ht="25" customHeight="1">
      <c r="A5" s="159" t="inlineStr">
        <is>
          <t>AJE-02</t>
        </is>
      </c>
      <c r="B5" s="51" t="inlineStr"/>
      <c r="C5" s="51" t="inlineStr"/>
      <c r="D5" s="51" t="inlineStr"/>
      <c r="E5" s="51" t="inlineStr"/>
      <c r="F5" s="51" t="inlineStr"/>
      <c r="G5" s="154" t="n">
        <v>0</v>
      </c>
      <c r="H5" s="51" t="inlineStr"/>
      <c r="I5" s="153" t="inlineStr"/>
      <c r="J5" s="34" t="inlineStr"/>
    </row>
    <row r="6" ht="25" customHeight="1">
      <c r="A6" s="159" t="inlineStr">
        <is>
          <t>AJE-03</t>
        </is>
      </c>
      <c r="B6" s="50" t="inlineStr"/>
      <c r="C6" s="50" t="inlineStr"/>
      <c r="D6" s="50" t="inlineStr"/>
      <c r="E6" s="50" t="inlineStr"/>
      <c r="F6" s="50" t="inlineStr"/>
      <c r="G6" s="154" t="n">
        <v>0</v>
      </c>
      <c r="H6" s="50" t="inlineStr"/>
      <c r="I6" s="153" t="inlineStr"/>
      <c r="J6" s="40" t="inlineStr"/>
    </row>
    <row r="7" ht="25" customHeight="1">
      <c r="A7" s="159" t="inlineStr">
        <is>
          <t>AJE-04</t>
        </is>
      </c>
      <c r="B7" s="51" t="inlineStr"/>
      <c r="C7" s="51" t="inlineStr"/>
      <c r="D7" s="51" t="inlineStr"/>
      <c r="E7" s="51" t="inlineStr"/>
      <c r="F7" s="51" t="inlineStr"/>
      <c r="G7" s="154" t="n">
        <v>0</v>
      </c>
      <c r="H7" s="51" t="inlineStr"/>
      <c r="I7" s="153" t="inlineStr"/>
      <c r="J7" s="34" t="inlineStr"/>
    </row>
    <row r="8" ht="25" customHeight="1">
      <c r="A8" s="159" t="inlineStr">
        <is>
          <t>AJE-05</t>
        </is>
      </c>
      <c r="B8" s="50" t="inlineStr"/>
      <c r="C8" s="50" t="inlineStr"/>
      <c r="D8" s="50" t="inlineStr"/>
      <c r="E8" s="50" t="inlineStr"/>
      <c r="F8" s="50" t="inlineStr"/>
      <c r="G8" s="154" t="n">
        <v>0</v>
      </c>
      <c r="H8" s="50" t="inlineStr"/>
      <c r="I8" s="153" t="inlineStr"/>
      <c r="J8" s="40" t="inlineStr"/>
    </row>
    <row r="9" ht="25" customHeight="1">
      <c r="A9" s="159" t="inlineStr">
        <is>
          <t>AJE-06</t>
        </is>
      </c>
      <c r="B9" s="51" t="inlineStr"/>
      <c r="C9" s="51" t="inlineStr"/>
      <c r="D9" s="51" t="inlineStr"/>
      <c r="E9" s="51" t="inlineStr"/>
      <c r="F9" s="51" t="inlineStr"/>
      <c r="G9" s="154" t="n">
        <v>0</v>
      </c>
      <c r="H9" s="51" t="inlineStr"/>
      <c r="I9" s="153" t="inlineStr"/>
      <c r="J9" s="34" t="inlineStr"/>
    </row>
    <row r="10" ht="25" customHeight="1">
      <c r="A10" s="159" t="inlineStr">
        <is>
          <t>AJE-07</t>
        </is>
      </c>
      <c r="B10" s="50" t="inlineStr"/>
      <c r="C10" s="50" t="inlineStr"/>
      <c r="D10" s="50" t="inlineStr"/>
      <c r="E10" s="50" t="inlineStr"/>
      <c r="F10" s="50" t="inlineStr"/>
      <c r="G10" s="154" t="n">
        <v>0</v>
      </c>
      <c r="H10" s="50" t="inlineStr"/>
      <c r="I10" s="153" t="inlineStr"/>
      <c r="J10" s="40" t="inlineStr"/>
    </row>
    <row r="11" ht="25" customHeight="1">
      <c r="A11" s="159" t="inlineStr">
        <is>
          <t>AJE-08</t>
        </is>
      </c>
      <c r="B11" s="51" t="inlineStr"/>
      <c r="C11" s="51" t="inlineStr"/>
      <c r="D11" s="51" t="inlineStr"/>
      <c r="E11" s="51" t="inlineStr"/>
      <c r="F11" s="51" t="inlineStr"/>
      <c r="G11" s="154" t="n">
        <v>0</v>
      </c>
      <c r="H11" s="51" t="inlineStr"/>
      <c r="I11" s="153" t="inlineStr"/>
      <c r="J11" s="34" t="inlineStr"/>
    </row>
    <row r="12" ht="25" customHeight="1">
      <c r="A12" s="159" t="inlineStr">
        <is>
          <t>AJE-09</t>
        </is>
      </c>
      <c r="B12" s="50" t="inlineStr"/>
      <c r="C12" s="50" t="inlineStr"/>
      <c r="D12" s="50" t="inlineStr"/>
      <c r="E12" s="50" t="inlineStr"/>
      <c r="F12" s="50" t="inlineStr"/>
      <c r="G12" s="154" t="n">
        <v>0</v>
      </c>
      <c r="H12" s="50" t="inlineStr"/>
      <c r="I12" s="153" t="inlineStr"/>
      <c r="J12" s="40" t="inlineStr"/>
    </row>
    <row r="13" ht="25" customHeight="1">
      <c r="A13" s="159" t="inlineStr">
        <is>
          <t>AJE-10</t>
        </is>
      </c>
      <c r="B13" s="51" t="inlineStr"/>
      <c r="C13" s="51" t="inlineStr"/>
      <c r="D13" s="51" t="inlineStr"/>
      <c r="E13" s="51" t="inlineStr"/>
      <c r="F13" s="51" t="inlineStr"/>
      <c r="G13" s="154" t="n">
        <v>0</v>
      </c>
      <c r="H13" s="51" t="inlineStr"/>
      <c r="I13" s="153" t="inlineStr"/>
      <c r="J13" s="34" t="inlineStr"/>
    </row>
    <row r="14" ht="25" customHeight="1">
      <c r="A14" s="159" t="inlineStr">
        <is>
          <t>AJE-11</t>
        </is>
      </c>
      <c r="B14" s="50" t="inlineStr"/>
      <c r="C14" s="50" t="inlineStr"/>
      <c r="D14" s="50" t="inlineStr"/>
      <c r="E14" s="50" t="inlineStr"/>
      <c r="F14" s="50" t="inlineStr"/>
      <c r="G14" s="154" t="n">
        <v>0</v>
      </c>
      <c r="H14" s="50" t="inlineStr"/>
      <c r="I14" s="153" t="inlineStr"/>
      <c r="J14" s="40" t="inlineStr"/>
    </row>
    <row r="15" ht="25" customHeight="1">
      <c r="A15" s="159" t="inlineStr">
        <is>
          <t>AJE-12</t>
        </is>
      </c>
      <c r="B15" s="51" t="inlineStr"/>
      <c r="C15" s="51" t="inlineStr"/>
      <c r="D15" s="51" t="inlineStr"/>
      <c r="E15" s="51" t="inlineStr"/>
      <c r="F15" s="51" t="inlineStr"/>
      <c r="G15" s="154" t="n">
        <v>0</v>
      </c>
      <c r="H15" s="51" t="inlineStr"/>
      <c r="I15" s="153" t="inlineStr"/>
      <c r="J15" s="34" t="inlineStr"/>
    </row>
    <row r="16" ht="25" customHeight="1">
      <c r="A16" s="159" t="inlineStr">
        <is>
          <t>AJE-13</t>
        </is>
      </c>
      <c r="B16" s="50" t="inlineStr"/>
      <c r="C16" s="50" t="inlineStr"/>
      <c r="D16" s="50" t="inlineStr"/>
      <c r="E16" s="50" t="inlineStr"/>
      <c r="F16" s="50" t="inlineStr"/>
      <c r="G16" s="154" t="n">
        <v>0</v>
      </c>
      <c r="H16" s="50" t="inlineStr"/>
      <c r="I16" s="153" t="inlineStr"/>
      <c r="J16" s="40" t="inlineStr"/>
    </row>
    <row r="17" ht="25" customHeight="1">
      <c r="A17" s="159" t="inlineStr">
        <is>
          <t>AJE-14</t>
        </is>
      </c>
      <c r="B17" s="51" t="inlineStr"/>
      <c r="C17" s="51" t="inlineStr"/>
      <c r="D17" s="51" t="inlineStr"/>
      <c r="E17" s="51" t="inlineStr"/>
      <c r="F17" s="51" t="inlineStr"/>
      <c r="G17" s="154" t="n">
        <v>0</v>
      </c>
      <c r="H17" s="51" t="inlineStr"/>
      <c r="I17" s="153" t="inlineStr"/>
      <c r="J17" s="34" t="inlineStr"/>
    </row>
    <row r="18" ht="25" customHeight="1">
      <c r="A18" s="159" t="inlineStr">
        <is>
          <t>AJE-15</t>
        </is>
      </c>
      <c r="B18" s="50" t="inlineStr"/>
      <c r="C18" s="50" t="inlineStr"/>
      <c r="D18" s="50" t="inlineStr"/>
      <c r="E18" s="50" t="inlineStr"/>
      <c r="F18" s="50" t="inlineStr"/>
      <c r="G18" s="154" t="n">
        <v>0</v>
      </c>
      <c r="H18" s="50" t="inlineStr"/>
      <c r="I18" s="153" t="inlineStr"/>
      <c r="J18" s="40" t="inlineStr"/>
    </row>
    <row r="19" ht="25" customHeight="1">
      <c r="A19" s="159" t="inlineStr">
        <is>
          <t>AJE-16</t>
        </is>
      </c>
      <c r="B19" s="51" t="inlineStr"/>
      <c r="C19" s="51" t="inlineStr"/>
      <c r="D19" s="51" t="inlineStr"/>
      <c r="E19" s="51" t="inlineStr"/>
      <c r="F19" s="51" t="inlineStr"/>
      <c r="G19" s="154" t="n">
        <v>0</v>
      </c>
      <c r="H19" s="51" t="inlineStr"/>
      <c r="I19" s="153" t="inlineStr"/>
      <c r="J19" s="34" t="inlineStr"/>
    </row>
    <row r="20" ht="25" customHeight="1">
      <c r="A20" s="159" t="inlineStr">
        <is>
          <t>AJE-17</t>
        </is>
      </c>
      <c r="B20" s="50" t="inlineStr"/>
      <c r="C20" s="50" t="inlineStr"/>
      <c r="D20" s="50" t="inlineStr"/>
      <c r="E20" s="50" t="inlineStr"/>
      <c r="F20" s="50" t="inlineStr"/>
      <c r="G20" s="154" t="n">
        <v>0</v>
      </c>
      <c r="H20" s="50" t="inlineStr"/>
      <c r="I20" s="153" t="inlineStr"/>
      <c r="J20" s="40" t="inlineStr"/>
    </row>
    <row r="21" ht="25" customHeight="1">
      <c r="A21" s="159" t="inlineStr">
        <is>
          <t>AJE-18</t>
        </is>
      </c>
      <c r="B21" s="51" t="inlineStr"/>
      <c r="C21" s="51" t="inlineStr"/>
      <c r="D21" s="51" t="inlineStr"/>
      <c r="E21" s="51" t="inlineStr"/>
      <c r="F21" s="51" t="inlineStr"/>
      <c r="G21" s="154" t="n">
        <v>0</v>
      </c>
      <c r="H21" s="51" t="inlineStr"/>
      <c r="I21" s="153" t="inlineStr"/>
      <c r="J21" s="34" t="inlineStr"/>
    </row>
    <row r="22" ht="25" customHeight="1">
      <c r="A22" s="159" t="inlineStr">
        <is>
          <t>AJE-19</t>
        </is>
      </c>
      <c r="B22" s="50" t="inlineStr"/>
      <c r="C22" s="50" t="inlineStr"/>
      <c r="D22" s="50" t="inlineStr"/>
      <c r="E22" s="50" t="inlineStr"/>
      <c r="F22" s="50" t="inlineStr"/>
      <c r="G22" s="154" t="n">
        <v>0</v>
      </c>
      <c r="H22" s="50" t="inlineStr"/>
      <c r="I22" s="153" t="inlineStr"/>
      <c r="J22" s="40" t="inlineStr"/>
    </row>
    <row r="23" ht="25" customHeight="1">
      <c r="A23" s="159" t="inlineStr">
        <is>
          <t>AJE-20</t>
        </is>
      </c>
      <c r="B23" s="51" t="inlineStr"/>
      <c r="C23" s="51" t="inlineStr"/>
      <c r="D23" s="51" t="inlineStr"/>
      <c r="E23" s="51" t="inlineStr"/>
      <c r="F23" s="51" t="inlineStr"/>
      <c r="G23" s="154" t="n">
        <v>0</v>
      </c>
      <c r="H23" s="51" t="inlineStr"/>
      <c r="I23" s="153" t="inlineStr"/>
      <c r="J23" s="34" t="inlineStr"/>
    </row>
    <row r="24" ht="25" customHeight="1">
      <c r="A24" s="159" t="inlineStr">
        <is>
          <t>AJE-21</t>
        </is>
      </c>
      <c r="B24" s="50" t="inlineStr"/>
      <c r="C24" s="50" t="inlineStr"/>
      <c r="D24" s="50" t="inlineStr"/>
      <c r="E24" s="50" t="inlineStr"/>
      <c r="F24" s="50" t="inlineStr"/>
      <c r="G24" s="154" t="n">
        <v>0</v>
      </c>
      <c r="H24" s="50" t="inlineStr"/>
      <c r="I24" s="153" t="inlineStr"/>
      <c r="J24" s="40" t="inlineStr"/>
    </row>
    <row r="25" ht="25" customHeight="1">
      <c r="A25" s="159" t="inlineStr">
        <is>
          <t>AJE-22</t>
        </is>
      </c>
      <c r="B25" s="51" t="inlineStr"/>
      <c r="C25" s="51" t="inlineStr"/>
      <c r="D25" s="51" t="inlineStr"/>
      <c r="E25" s="51" t="inlineStr"/>
      <c r="F25" s="51" t="inlineStr"/>
      <c r="G25" s="154" t="n">
        <v>0</v>
      </c>
      <c r="H25" s="51" t="inlineStr"/>
      <c r="I25" s="153" t="inlineStr"/>
      <c r="J25" s="34" t="inlineStr"/>
    </row>
    <row r="26" ht="25" customHeight="1">
      <c r="A26" s="159" t="inlineStr">
        <is>
          <t>AJE-23</t>
        </is>
      </c>
      <c r="B26" s="50" t="inlineStr"/>
      <c r="C26" s="50" t="inlineStr"/>
      <c r="D26" s="50" t="inlineStr"/>
      <c r="E26" s="50" t="inlineStr"/>
      <c r="F26" s="50" t="inlineStr"/>
      <c r="G26" s="154" t="n">
        <v>0</v>
      </c>
      <c r="H26" s="50" t="inlineStr"/>
      <c r="I26" s="153" t="inlineStr"/>
      <c r="J26" s="40" t="inlineStr"/>
    </row>
    <row r="27" ht="25" customHeight="1">
      <c r="A27" s="159" t="inlineStr">
        <is>
          <t>AJE-24</t>
        </is>
      </c>
      <c r="B27" s="51" t="inlineStr"/>
      <c r="C27" s="51" t="inlineStr"/>
      <c r="D27" s="51" t="inlineStr"/>
      <c r="E27" s="51" t="inlineStr"/>
      <c r="F27" s="51" t="inlineStr"/>
      <c r="G27" s="154" t="n">
        <v>0</v>
      </c>
      <c r="H27" s="51" t="inlineStr"/>
      <c r="I27" s="153" t="inlineStr"/>
      <c r="J27" s="34" t="inlineStr"/>
    </row>
    <row r="28" ht="25" customHeight="1">
      <c r="A28" s="159" t="inlineStr">
        <is>
          <t>AJE-25</t>
        </is>
      </c>
      <c r="B28" s="50" t="inlineStr"/>
      <c r="C28" s="50" t="inlineStr"/>
      <c r="D28" s="50" t="inlineStr"/>
      <c r="E28" s="50" t="inlineStr"/>
      <c r="F28" s="50" t="inlineStr"/>
      <c r="G28" s="154" t="n">
        <v>0</v>
      </c>
      <c r="H28" s="50" t="inlineStr"/>
      <c r="I28" s="153" t="inlineStr"/>
      <c r="J28" s="40" t="inlineStr"/>
    </row>
    <row r="30">
      <c r="A30" s="52" t="inlineStr">
        <is>
          <t>TOTAL AUDIT ADJUSTMENTS</t>
        </is>
      </c>
      <c r="G30" s="53">
        <f>SUM(G4:G29)</f>
        <v/>
      </c>
      <c r="H30" s="178" t="inlineStr"/>
      <c r="I30" s="178" t="inlineStr"/>
      <c r="J30" s="178" t="inlineStr"/>
    </row>
  </sheetData>
  <mergeCells count="3">
    <mergeCell ref="A30:F30"/>
    <mergeCell ref="A1:J1"/>
    <mergeCell ref="A2:J2"/>
  </mergeCells>
  <dataValidations count="1">
    <dataValidation sqref="I4:I29" showDropDown="0" showInputMessage="0" showErrorMessage="0" allowBlank="1" type="list">
      <formula1>"Accepted by Management,Rejected by Management,Passed as Audit Entry,Waived — Immaterial"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3"/>
  <sheetViews>
    <sheetView showGridLines="0" workbookViewId="0">
      <selection activeCell="A1" sqref="A1"/>
    </sheetView>
  </sheetViews>
  <sheetFormatPr baseColWidth="8" defaultRowHeight="15"/>
  <cols>
    <col width="5" customWidth="1" min="1" max="1"/>
    <col width="50" customWidth="1" min="2" max="2"/>
    <col width="12" customWidth="1" min="3" max="3"/>
    <col width="11" customWidth="1" min="4" max="4"/>
    <col width="13" customWidth="1" min="5" max="5"/>
    <col width="14" customWidth="1" min="6" max="6"/>
    <col width="22" customWidth="1" min="7" max="7"/>
  </cols>
  <sheetData>
    <row r="1">
      <c r="A1" s="30" t="inlineStr">
        <is>
          <t>AUDIT COMPLETION &amp; PRE-SIGN-OFF CHECKLIST  |  FY 2025-26</t>
        </is>
      </c>
    </row>
    <row r="3">
      <c r="A3" s="22" t="inlineStr">
        <is>
          <t>Sr.</t>
        </is>
      </c>
      <c r="B3" s="22" t="inlineStr">
        <is>
          <t>Requirement / Check</t>
        </is>
      </c>
      <c r="C3" s="22" t="inlineStr">
        <is>
          <t>Done By</t>
        </is>
      </c>
      <c r="D3" s="22" t="inlineStr">
        <is>
          <t>Date</t>
        </is>
      </c>
      <c r="E3" s="22" t="inlineStr">
        <is>
          <t>Status</t>
        </is>
      </c>
      <c r="F3" s="22" t="inlineStr">
        <is>
          <t>Partner Review</t>
        </is>
      </c>
      <c r="G3" s="22" t="inlineStr">
        <is>
          <t>Remarks</t>
        </is>
      </c>
    </row>
    <row r="4">
      <c r="A4" s="31" t="inlineStr">
        <is>
          <t>A. FINANCIAL STATEMENTS</t>
        </is>
      </c>
    </row>
    <row r="5" ht="25" customHeight="1">
      <c r="A5" s="156" t="n">
        <v>1</v>
      </c>
      <c r="B5" s="34" t="inlineStr">
        <is>
          <t>Draft financial statements obtained and reviewed (P&amp;L, BS, CF, Notes)</t>
        </is>
      </c>
      <c r="C5" s="165" t="inlineStr"/>
      <c r="D5" s="165" t="inlineStr"/>
      <c r="E5" s="153" t="inlineStr">
        <is>
          <t>Pending ⏳</t>
        </is>
      </c>
      <c r="F5" s="160" t="inlineStr"/>
      <c r="G5" s="34" t="inlineStr"/>
    </row>
    <row r="6" ht="25" customHeight="1">
      <c r="A6" s="156" t="n">
        <v>2</v>
      </c>
      <c r="B6" s="34" t="inlineStr">
        <is>
          <t>Schedule III (Division I / II) compliance verified</t>
        </is>
      </c>
      <c r="C6" s="165" t="inlineStr"/>
      <c r="D6" s="165" t="inlineStr"/>
      <c r="E6" s="153" t="inlineStr">
        <is>
          <t>Pending ⏳</t>
        </is>
      </c>
      <c r="F6" s="160" t="inlineStr"/>
      <c r="G6" s="34" t="inlineStr"/>
    </row>
    <row r="7" ht="25" customHeight="1">
      <c r="A7" s="156" t="n">
        <v>3</v>
      </c>
      <c r="B7" s="34" t="inlineStr">
        <is>
          <t>Accounting policies note — complete and consistent</t>
        </is>
      </c>
      <c r="C7" s="165" t="inlineStr"/>
      <c r="D7" s="165" t="inlineStr"/>
      <c r="E7" s="153" t="inlineStr">
        <is>
          <t>Pending ⏳</t>
        </is>
      </c>
      <c r="F7" s="160" t="inlineStr"/>
      <c r="G7" s="34" t="inlineStr"/>
    </row>
    <row r="8" ht="25" customHeight="1">
      <c r="A8" s="156" t="n">
        <v>4</v>
      </c>
      <c r="B8" s="34" t="inlineStr">
        <is>
          <t>Significant accounting judgements note complete</t>
        </is>
      </c>
      <c r="C8" s="165" t="inlineStr"/>
      <c r="D8" s="165" t="inlineStr"/>
      <c r="E8" s="153" t="inlineStr">
        <is>
          <t>Pending ⏳</t>
        </is>
      </c>
      <c r="F8" s="160" t="inlineStr"/>
      <c r="G8" s="34" t="inlineStr"/>
    </row>
    <row r="9" ht="25" customHeight="1">
      <c r="A9" s="156" t="n">
        <v>5</v>
      </c>
      <c r="B9" s="34" t="inlineStr">
        <is>
          <t>EPS computation verified</t>
        </is>
      </c>
      <c r="C9" s="165" t="inlineStr"/>
      <c r="D9" s="165" t="inlineStr"/>
      <c r="E9" s="153" t="inlineStr">
        <is>
          <t>Pending ⏳</t>
        </is>
      </c>
      <c r="F9" s="160" t="inlineStr"/>
      <c r="G9" s="34" t="inlineStr"/>
    </row>
    <row r="10" ht="25" customHeight="1">
      <c r="A10" s="156" t="n">
        <v>6</v>
      </c>
      <c r="B10" s="34" t="inlineStr">
        <is>
          <t>All notes cross-referenced to FS line items</t>
        </is>
      </c>
      <c r="C10" s="165" t="inlineStr"/>
      <c r="D10" s="165" t="inlineStr"/>
      <c r="E10" s="153" t="inlineStr">
        <is>
          <t>Pending ⏳</t>
        </is>
      </c>
      <c r="F10" s="160" t="inlineStr"/>
      <c r="G10" s="34" t="inlineStr"/>
    </row>
    <row r="11" ht="25" customHeight="1">
      <c r="A11" s="156" t="n">
        <v>7</v>
      </c>
      <c r="B11" s="34" t="inlineStr">
        <is>
          <t>Directors' Report reviewed — Sec 134(3) compliance</t>
        </is>
      </c>
      <c r="C11" s="165" t="inlineStr"/>
      <c r="D11" s="165" t="inlineStr"/>
      <c r="E11" s="153" t="inlineStr">
        <is>
          <t>Pending ⏳</t>
        </is>
      </c>
      <c r="F11" s="160" t="inlineStr"/>
      <c r="G11" s="34" t="inlineStr"/>
    </row>
    <row r="12" ht="25" customHeight="1">
      <c r="A12" s="156" t="n">
        <v>8</v>
      </c>
      <c r="B12" s="34" t="inlineStr">
        <is>
          <t>Board's Report contents verified — all mandatory items</t>
        </is>
      </c>
      <c r="C12" s="165" t="inlineStr"/>
      <c r="D12" s="165" t="inlineStr"/>
      <c r="E12" s="153" t="inlineStr">
        <is>
          <t>Pending ⏳</t>
        </is>
      </c>
      <c r="F12" s="160" t="inlineStr"/>
      <c r="G12" s="34" t="inlineStr"/>
    </row>
    <row r="13" ht="25" customHeight="1">
      <c r="A13" s="156" t="n">
        <v>9</v>
      </c>
      <c r="B13" s="34" t="inlineStr">
        <is>
          <t>Auditor's Report on FS — UDIN generated from ICAI portal</t>
        </is>
      </c>
      <c r="C13" s="165" t="inlineStr"/>
      <c r="D13" s="165" t="inlineStr"/>
      <c r="E13" s="153" t="inlineStr">
        <is>
          <t>Pending ⏳</t>
        </is>
      </c>
      <c r="F13" s="160" t="inlineStr"/>
      <c r="G13" s="34" t="inlineStr"/>
    </row>
    <row r="15">
      <c r="A15" s="31" t="inlineStr">
        <is>
          <t>B. CARO 2020 REPORT</t>
        </is>
      </c>
    </row>
    <row r="16" ht="25" customHeight="1">
      <c r="A16" s="156" t="n">
        <v>10</v>
      </c>
      <c r="B16" s="34" t="inlineStr">
        <is>
          <t>All 21 CARO paragraphs completed and signed off</t>
        </is>
      </c>
      <c r="C16" s="165" t="inlineStr"/>
      <c r="D16" s="165" t="inlineStr"/>
      <c r="E16" s="153" t="inlineStr">
        <is>
          <t>Pending ⏳</t>
        </is>
      </c>
      <c r="F16" s="160" t="inlineStr"/>
      <c r="G16" s="34" t="inlineStr"/>
    </row>
    <row r="17" ht="25" customHeight="1">
      <c r="A17" s="156" t="n">
        <v>11</v>
      </c>
      <c r="B17" s="34" t="inlineStr">
        <is>
          <t>CARO report reviewed by engagement partner</t>
        </is>
      </c>
      <c r="C17" s="165" t="inlineStr"/>
      <c r="D17" s="165" t="inlineStr"/>
      <c r="E17" s="153" t="inlineStr">
        <is>
          <t>Pending ⏳</t>
        </is>
      </c>
      <c r="F17" s="160" t="inlineStr"/>
      <c r="G17" s="34" t="inlineStr"/>
    </row>
    <row r="18" ht="25" customHeight="1">
      <c r="A18" s="156" t="n">
        <v>12</v>
      </c>
      <c r="B18" s="34" t="inlineStr">
        <is>
          <t>CARO report dated same as main audit report</t>
        </is>
      </c>
      <c r="C18" s="165" t="inlineStr"/>
      <c r="D18" s="165" t="inlineStr"/>
      <c r="E18" s="153" t="inlineStr">
        <is>
          <t>Pending ⏳</t>
        </is>
      </c>
      <c r="F18" s="160" t="inlineStr"/>
      <c r="G18" s="34" t="inlineStr"/>
    </row>
    <row r="20">
      <c r="A20" s="31" t="inlineStr">
        <is>
          <t>C. TAX AUDIT — FORM 3CD</t>
        </is>
      </c>
    </row>
    <row r="21" ht="25" customHeight="1">
      <c r="A21" s="156" t="n">
        <v>13</v>
      </c>
      <c r="B21" s="34" t="inlineStr">
        <is>
          <t>All 44 clauses of Form 3CD verified and completed</t>
        </is>
      </c>
      <c r="C21" s="165" t="inlineStr"/>
      <c r="D21" s="165" t="inlineStr"/>
      <c r="E21" s="153" t="inlineStr">
        <is>
          <t>Pending ⏳</t>
        </is>
      </c>
      <c r="F21" s="160" t="inlineStr"/>
      <c r="G21" s="34" t="inlineStr"/>
    </row>
    <row r="22" ht="25" customHeight="1">
      <c r="A22" s="156" t="n">
        <v>14</v>
      </c>
      <c r="B22" s="34" t="inlineStr">
        <is>
          <t>Form 3CA / 3CB as applicable prepared and signed</t>
        </is>
      </c>
      <c r="C22" s="165" t="inlineStr"/>
      <c r="D22" s="165" t="inlineStr"/>
      <c r="E22" s="153" t="inlineStr">
        <is>
          <t>Pending ⏳</t>
        </is>
      </c>
      <c r="F22" s="160" t="inlineStr"/>
      <c r="G22" s="34" t="inlineStr"/>
    </row>
    <row r="23" ht="25" customHeight="1">
      <c r="A23" s="156" t="n">
        <v>15</v>
      </c>
      <c r="B23" s="34" t="inlineStr">
        <is>
          <t>UDIN for Tax Audit Report generated from ICAI portal</t>
        </is>
      </c>
      <c r="C23" s="165" t="inlineStr"/>
      <c r="D23" s="165" t="inlineStr"/>
      <c r="E23" s="153" t="inlineStr">
        <is>
          <t>Pending ⏳</t>
        </is>
      </c>
      <c r="F23" s="160" t="inlineStr"/>
      <c r="G23" s="34" t="inlineStr"/>
    </row>
    <row r="24" ht="25" customHeight="1">
      <c r="A24" s="156" t="n">
        <v>16</v>
      </c>
      <c r="B24" s="34" t="inlineStr">
        <is>
          <t>Form 3CD uploaded on Income Tax Portal</t>
        </is>
      </c>
      <c r="C24" s="165" t="inlineStr"/>
      <c r="D24" s="165" t="inlineStr"/>
      <c r="E24" s="153" t="inlineStr">
        <is>
          <t>Pending ⏳</t>
        </is>
      </c>
      <c r="F24" s="160" t="inlineStr"/>
      <c r="G24" s="34" t="inlineStr"/>
    </row>
    <row r="25" ht="25" customHeight="1">
      <c r="A25" s="156" t="n">
        <v>17</v>
      </c>
      <c r="B25" s="34" t="inlineStr">
        <is>
          <t>Acknowledgement of successful filing obtained</t>
        </is>
      </c>
      <c r="C25" s="165" t="inlineStr"/>
      <c r="D25" s="165" t="inlineStr"/>
      <c r="E25" s="153" t="inlineStr">
        <is>
          <t>Pending ⏳</t>
        </is>
      </c>
      <c r="F25" s="160" t="inlineStr"/>
      <c r="G25" s="34" t="inlineStr"/>
    </row>
    <row r="26" ht="25" customHeight="1">
      <c r="A26" s="156" t="n">
        <v>18</v>
      </c>
      <c r="B26" s="34" t="inlineStr">
        <is>
          <t>Form 26AS verified with books — reconciliation complete</t>
        </is>
      </c>
      <c r="C26" s="165" t="inlineStr"/>
      <c r="D26" s="165" t="inlineStr"/>
      <c r="E26" s="153" t="inlineStr">
        <is>
          <t>Pending ⏳</t>
        </is>
      </c>
      <c r="F26" s="160" t="inlineStr"/>
      <c r="G26" s="34" t="inlineStr"/>
    </row>
    <row r="28">
      <c r="A28" s="31" t="inlineStr">
        <is>
          <t>D. AUDIT WORKING PAPERS</t>
        </is>
      </c>
    </row>
    <row r="29" ht="25" customHeight="1">
      <c r="A29" s="156" t="n">
        <v>19</v>
      </c>
      <c r="B29" s="34" t="inlineStr">
        <is>
          <t>All working papers referenced in audit checklist are complete</t>
        </is>
      </c>
      <c r="C29" s="165" t="inlineStr"/>
      <c r="D29" s="165" t="inlineStr"/>
      <c r="E29" s="153" t="inlineStr">
        <is>
          <t>Pending ⏳</t>
        </is>
      </c>
      <c r="F29" s="160" t="inlineStr"/>
      <c r="G29" s="34" t="inlineStr"/>
    </row>
    <row r="30" ht="25" customHeight="1">
      <c r="A30" s="156" t="n">
        <v>20</v>
      </c>
      <c r="B30" s="34" t="inlineStr">
        <is>
          <t>Management Representation Letter obtained and signed</t>
        </is>
      </c>
      <c r="C30" s="165" t="inlineStr"/>
      <c r="D30" s="165" t="inlineStr"/>
      <c r="E30" s="153" t="inlineStr">
        <is>
          <t>Pending ⏳</t>
        </is>
      </c>
      <c r="F30" s="160" t="inlineStr"/>
      <c r="G30" s="34" t="inlineStr"/>
    </row>
    <row r="31" ht="25" customHeight="1">
      <c r="A31" s="156" t="n">
        <v>21</v>
      </c>
      <c r="B31" s="34" t="inlineStr">
        <is>
          <t>Solicitor / Legal Representation Letter obtained</t>
        </is>
      </c>
      <c r="C31" s="165" t="inlineStr"/>
      <c r="D31" s="165" t="inlineStr"/>
      <c r="E31" s="153" t="inlineStr">
        <is>
          <t>Pending ⏳</t>
        </is>
      </c>
      <c r="F31" s="160" t="inlineStr"/>
      <c r="G31" s="34" t="inlineStr"/>
    </row>
    <row r="32" ht="25" customHeight="1">
      <c r="A32" s="156" t="n">
        <v>22</v>
      </c>
      <c r="B32" s="34" t="inlineStr">
        <is>
          <t>Engagement partner final review and sign-off complete</t>
        </is>
      </c>
      <c r="C32" s="165" t="inlineStr"/>
      <c r="D32" s="165" t="inlineStr"/>
      <c r="E32" s="153" t="inlineStr">
        <is>
          <t>Pending ⏳</t>
        </is>
      </c>
      <c r="F32" s="160" t="inlineStr"/>
      <c r="G32" s="34" t="inlineStr"/>
    </row>
    <row r="33" ht="25" customHeight="1">
      <c r="A33" s="156" t="n">
        <v>23</v>
      </c>
      <c r="B33" s="34" t="inlineStr">
        <is>
          <t>Quality control review (EQC) completed if applicable</t>
        </is>
      </c>
      <c r="C33" s="165" t="inlineStr"/>
      <c r="D33" s="165" t="inlineStr"/>
      <c r="E33" s="153" t="inlineStr">
        <is>
          <t>Pending ⏳</t>
        </is>
      </c>
      <c r="F33" s="160" t="inlineStr"/>
      <c r="G33" s="34" t="inlineStr"/>
    </row>
    <row r="34" ht="25" customHeight="1">
      <c r="A34" s="156" t="n">
        <v>24</v>
      </c>
      <c r="B34" s="34" t="inlineStr">
        <is>
          <t>All audit queries closed — no open items</t>
        </is>
      </c>
      <c r="C34" s="165" t="inlineStr"/>
      <c r="D34" s="165" t="inlineStr"/>
      <c r="E34" s="153" t="inlineStr">
        <is>
          <t>Pending ⏳</t>
        </is>
      </c>
      <c r="F34" s="160" t="inlineStr"/>
      <c r="G34" s="34" t="inlineStr"/>
    </row>
    <row r="35" ht="25" customHeight="1">
      <c r="A35" s="156" t="n">
        <v>25</v>
      </c>
      <c r="B35" s="34" t="inlineStr">
        <is>
          <t>Adjusting journal entries — management acceptance documented</t>
        </is>
      </c>
      <c r="C35" s="165" t="inlineStr"/>
      <c r="D35" s="165" t="inlineStr"/>
      <c r="E35" s="153" t="inlineStr">
        <is>
          <t>Pending ⏳</t>
        </is>
      </c>
      <c r="F35" s="160" t="inlineStr"/>
      <c r="G35" s="34" t="inlineStr"/>
    </row>
    <row r="36" ht="25" customHeight="1">
      <c r="A36" s="156" t="n">
        <v>26</v>
      </c>
      <c r="B36" s="34" t="inlineStr">
        <is>
          <t>Time sheets completed and filed</t>
        </is>
      </c>
      <c r="C36" s="165" t="inlineStr"/>
      <c r="D36" s="165" t="inlineStr"/>
      <c r="E36" s="153" t="inlineStr">
        <is>
          <t>Pending ⏳</t>
        </is>
      </c>
      <c r="F36" s="160" t="inlineStr"/>
      <c r="G36" s="34" t="inlineStr"/>
    </row>
    <row r="38">
      <c r="A38" s="31" t="inlineStr">
        <is>
          <t>E. REGULATORY FILINGS TRACKING</t>
        </is>
      </c>
    </row>
    <row r="39" ht="25" customHeight="1">
      <c r="A39" s="156" t="n">
        <v>27</v>
      </c>
      <c r="B39" s="34" t="inlineStr">
        <is>
          <t>Form AOC-4 (Financial Statements) — due date noted</t>
        </is>
      </c>
      <c r="C39" s="165" t="inlineStr"/>
      <c r="D39" s="165" t="inlineStr"/>
      <c r="E39" s="153" t="inlineStr">
        <is>
          <t>Pending ⏳</t>
        </is>
      </c>
      <c r="F39" s="160" t="inlineStr"/>
      <c r="G39" s="34" t="inlineStr"/>
    </row>
    <row r="40" ht="25" customHeight="1">
      <c r="A40" s="156" t="n">
        <v>28</v>
      </c>
      <c r="B40" s="34" t="inlineStr">
        <is>
          <t>Form MGT-7 / MGT-7A (Annual Return) — due date noted</t>
        </is>
      </c>
      <c r="C40" s="165" t="inlineStr"/>
      <c r="D40" s="165" t="inlineStr"/>
      <c r="E40" s="153" t="inlineStr">
        <is>
          <t>Pending ⏳</t>
        </is>
      </c>
      <c r="F40" s="160" t="inlineStr"/>
      <c r="G40" s="34" t="inlineStr"/>
    </row>
    <row r="41" ht="25" customHeight="1">
      <c r="A41" s="156" t="n">
        <v>29</v>
      </c>
      <c r="B41" s="34" t="inlineStr">
        <is>
          <t>Form ADT-1 (Auditor Appointment) — filed by company</t>
        </is>
      </c>
      <c r="C41" s="165" t="inlineStr"/>
      <c r="D41" s="165" t="inlineStr"/>
      <c r="E41" s="153" t="inlineStr">
        <is>
          <t>Pending ⏳</t>
        </is>
      </c>
      <c r="F41" s="160" t="inlineStr"/>
      <c r="G41" s="34" t="inlineStr"/>
    </row>
    <row r="42" ht="25" customHeight="1">
      <c r="A42" s="156" t="n">
        <v>30</v>
      </c>
      <c r="B42" s="34" t="inlineStr">
        <is>
          <t>Income Tax Return (ITR-6) — due date 31-Oct-2026</t>
        </is>
      </c>
      <c r="C42" s="165" t="inlineStr"/>
      <c r="D42" s="165" t="inlineStr"/>
      <c r="E42" s="153" t="inlineStr">
        <is>
          <t>Pending ⏳</t>
        </is>
      </c>
      <c r="F42" s="160" t="inlineStr"/>
      <c r="G42" s="34" t="inlineStr"/>
    </row>
    <row r="43" ht="25" customHeight="1">
      <c r="A43" s="156" t="n">
        <v>31</v>
      </c>
      <c r="B43" s="34" t="inlineStr">
        <is>
          <t>GSTR-9 Annual Return — filed / due date noted</t>
        </is>
      </c>
      <c r="C43" s="165" t="inlineStr"/>
      <c r="D43" s="165" t="inlineStr"/>
      <c r="E43" s="153" t="inlineStr">
        <is>
          <t>Pending ⏳</t>
        </is>
      </c>
      <c r="F43" s="160" t="inlineStr"/>
      <c r="G43" s="34" t="inlineStr"/>
    </row>
    <row r="44" ht="25" customHeight="1">
      <c r="A44" s="156" t="n">
        <v>32</v>
      </c>
      <c r="B44" s="34" t="inlineStr">
        <is>
          <t>GSTR-9C Reconciliation Statement — auditor signed (if applicable)</t>
        </is>
      </c>
      <c r="C44" s="165" t="inlineStr"/>
      <c r="D44" s="165" t="inlineStr"/>
      <c r="E44" s="153" t="inlineStr">
        <is>
          <t>Pending ⏳</t>
        </is>
      </c>
      <c r="F44" s="160" t="inlineStr"/>
      <c r="G44" s="34" t="inlineStr"/>
    </row>
    <row r="46">
      <c r="A46" s="31" t="inlineStr">
        <is>
          <t>F. FILE COMPLETION</t>
        </is>
      </c>
    </row>
    <row r="47" ht="25" customHeight="1">
      <c r="A47" s="156" t="n">
        <v>33</v>
      </c>
      <c r="B47" s="34" t="inlineStr">
        <is>
          <t>Complete audit file assembled in physical binder</t>
        </is>
      </c>
      <c r="C47" s="165" t="inlineStr"/>
      <c r="D47" s="165" t="inlineStr"/>
      <c r="E47" s="153" t="inlineStr">
        <is>
          <t>Pending ⏳</t>
        </is>
      </c>
      <c r="F47" s="160" t="inlineStr"/>
      <c r="G47" s="34" t="inlineStr"/>
    </row>
    <row r="48" ht="25" customHeight="1">
      <c r="A48" s="156" t="n">
        <v>34</v>
      </c>
      <c r="B48" s="34" t="inlineStr">
        <is>
          <t>Digital / cloud copy of audit file uploaded</t>
        </is>
      </c>
      <c r="C48" s="165" t="inlineStr"/>
      <c r="D48" s="165" t="inlineStr"/>
      <c r="E48" s="153" t="inlineStr">
        <is>
          <t>Pending ⏳</t>
        </is>
      </c>
      <c r="F48" s="160" t="inlineStr"/>
      <c r="G48" s="34" t="inlineStr"/>
    </row>
    <row r="49" ht="25" customHeight="1">
      <c r="A49" s="156" t="n">
        <v>35</v>
      </c>
      <c r="B49" s="34" t="inlineStr">
        <is>
          <t>File index prepared and all documents numbered</t>
        </is>
      </c>
      <c r="C49" s="165" t="inlineStr"/>
      <c r="D49" s="165" t="inlineStr"/>
      <c r="E49" s="153" t="inlineStr">
        <is>
          <t>Pending ⏳</t>
        </is>
      </c>
      <c r="F49" s="160" t="inlineStr"/>
      <c r="G49" s="34" t="inlineStr"/>
    </row>
    <row r="50" ht="25" customHeight="1">
      <c r="A50" s="156" t="n">
        <v>36</v>
      </c>
      <c r="B50" s="34" t="inlineStr">
        <is>
          <t>Prior year comparatives agreed</t>
        </is>
      </c>
      <c r="C50" s="165" t="inlineStr"/>
      <c r="D50" s="165" t="inlineStr"/>
      <c r="E50" s="153" t="inlineStr">
        <is>
          <t>Pending ⏳</t>
        </is>
      </c>
      <c r="F50" s="160" t="inlineStr"/>
      <c r="G50" s="34" t="inlineStr"/>
    </row>
    <row r="51" ht="25" customHeight="1">
      <c r="A51" s="156" t="n">
        <v>37</v>
      </c>
      <c r="B51" s="34" t="inlineStr">
        <is>
          <t>Signed copies of all reports in file</t>
        </is>
      </c>
      <c r="C51" s="165" t="inlineStr"/>
      <c r="D51" s="165" t="inlineStr"/>
      <c r="E51" s="153" t="inlineStr">
        <is>
          <t>Pending ⏳</t>
        </is>
      </c>
      <c r="F51" s="160" t="inlineStr"/>
      <c r="G51" s="34" t="inlineStr"/>
    </row>
    <row r="52" ht="25" customHeight="1">
      <c r="A52" s="156" t="n">
        <v>38</v>
      </c>
      <c r="B52" s="34" t="inlineStr">
        <is>
          <t>Management letter (recommendations to management) issued</t>
        </is>
      </c>
      <c r="C52" s="165" t="inlineStr"/>
      <c r="D52" s="165" t="inlineStr"/>
      <c r="E52" s="153" t="inlineStr">
        <is>
          <t>Pending ⏳</t>
        </is>
      </c>
      <c r="F52" s="160" t="inlineStr"/>
      <c r="G52" s="34" t="inlineStr"/>
    </row>
    <row r="53" ht="25" customHeight="1">
      <c r="A53" s="156" t="n">
        <v>39</v>
      </c>
      <c r="B53" s="34" t="inlineStr">
        <is>
          <t>Audit closure meeting with management conducted</t>
        </is>
      </c>
      <c r="C53" s="165" t="inlineStr"/>
      <c r="D53" s="165" t="inlineStr"/>
      <c r="E53" s="153" t="inlineStr">
        <is>
          <t>Pending ⏳</t>
        </is>
      </c>
      <c r="F53" s="160" t="inlineStr"/>
      <c r="G53" s="34" t="inlineStr"/>
    </row>
  </sheetData>
  <mergeCells count="46">
    <mergeCell ref="B49"/>
    <mergeCell ref="B40"/>
    <mergeCell ref="B9"/>
    <mergeCell ref="B30"/>
    <mergeCell ref="B33"/>
    <mergeCell ref="A4:G4"/>
    <mergeCell ref="B6"/>
    <mergeCell ref="A20:G20"/>
    <mergeCell ref="B24"/>
    <mergeCell ref="A38:G38"/>
    <mergeCell ref="B51"/>
    <mergeCell ref="B5"/>
    <mergeCell ref="B36"/>
    <mergeCell ref="A28:G28"/>
    <mergeCell ref="B41"/>
    <mergeCell ref="B32"/>
    <mergeCell ref="B35"/>
    <mergeCell ref="B50"/>
    <mergeCell ref="B26"/>
    <mergeCell ref="B7"/>
    <mergeCell ref="B25"/>
    <mergeCell ref="B47"/>
    <mergeCell ref="B16"/>
    <mergeCell ref="A15:G15"/>
    <mergeCell ref="B22"/>
    <mergeCell ref="B31"/>
    <mergeCell ref="A1:G1"/>
    <mergeCell ref="B12"/>
    <mergeCell ref="B18"/>
    <mergeCell ref="B43"/>
    <mergeCell ref="B52"/>
    <mergeCell ref="B21"/>
    <mergeCell ref="B48"/>
    <mergeCell ref="B39"/>
    <mergeCell ref="B11"/>
    <mergeCell ref="B42"/>
    <mergeCell ref="B23"/>
    <mergeCell ref="A46:G46"/>
    <mergeCell ref="B8"/>
    <mergeCell ref="B17"/>
    <mergeCell ref="B13"/>
    <mergeCell ref="B44"/>
    <mergeCell ref="B53"/>
    <mergeCell ref="B29"/>
    <mergeCell ref="B34"/>
    <mergeCell ref="B10"/>
  </mergeCells>
  <dataValidations count="1">
    <dataValidation sqref="E4:E55" showDropDown="0" showInputMessage="0" showErrorMessage="0" allowBlank="1" type="list">
      <formula1>"Done ✅,In Progress 🔄,Pending ⏳,N/A ➖,Refer Partner ⚠️"</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8"/>
  <sheetViews>
    <sheetView showGridLines="0" workbookViewId="0">
      <selection activeCell="A1" sqref="A1"/>
    </sheetView>
  </sheetViews>
  <sheetFormatPr baseColWidth="8" defaultRowHeight="15"/>
  <cols>
    <col width="30" customWidth="1" min="1" max="1"/>
    <col width="13" customWidth="1" min="2" max="2"/>
    <col width="9" customWidth="1" min="3" max="3"/>
    <col width="9" customWidth="1" min="4" max="4"/>
    <col width="9" customWidth="1" min="5" max="5"/>
    <col width="9" customWidth="1" min="6" max="6"/>
    <col width="13" customWidth="1" min="7" max="7"/>
    <col width="13" customWidth="1" min="8" max="8"/>
  </cols>
  <sheetData>
    <row r="1">
      <c r="A1" s="30" t="inlineStr">
        <is>
          <t>TIME BUDGET — AUDIT TEAM  |  FY 2025-26</t>
        </is>
      </c>
    </row>
    <row r="3">
      <c r="A3" s="22" t="inlineStr">
        <is>
          <t>Area</t>
        </is>
      </c>
      <c r="B3" s="22" t="inlineStr">
        <is>
          <t>Budgeted Hours</t>
        </is>
      </c>
      <c r="C3" s="22" t="inlineStr">
        <is>
          <t>Partner</t>
        </is>
      </c>
      <c r="D3" s="22" t="inlineStr">
        <is>
          <t>Manager</t>
        </is>
      </c>
      <c r="E3" s="22" t="inlineStr">
        <is>
          <t>Senior</t>
        </is>
      </c>
      <c r="F3" s="22" t="inlineStr">
        <is>
          <t>Article</t>
        </is>
      </c>
      <c r="G3" s="22" t="inlineStr">
        <is>
          <t>Actual Hours</t>
        </is>
      </c>
      <c r="H3" s="22" t="inlineStr">
        <is>
          <t>Variance (Hrs)</t>
        </is>
      </c>
    </row>
    <row r="4">
      <c r="A4" s="184" t="inlineStr">
        <is>
          <t>Planning &amp; Risk Assessment</t>
        </is>
      </c>
      <c r="B4" s="25" t="n">
        <v>8</v>
      </c>
      <c r="C4" s="44" t="n">
        <v>0</v>
      </c>
      <c r="D4" s="44" t="n">
        <v>0</v>
      </c>
      <c r="E4" s="44" t="n">
        <v>0</v>
      </c>
      <c r="F4" s="44" t="n">
        <v>0</v>
      </c>
      <c r="G4" s="56">
        <f>SUM(C4:F4)</f>
        <v/>
      </c>
      <c r="H4" s="180">
        <f>B4-G4</f>
        <v/>
      </c>
    </row>
    <row r="5">
      <c r="A5" s="184" t="inlineStr">
        <is>
          <t>Internal Controls Review</t>
        </is>
      </c>
      <c r="B5" s="25" t="n">
        <v>6</v>
      </c>
      <c r="C5" s="44" t="n">
        <v>0</v>
      </c>
      <c r="D5" s="44" t="n">
        <v>0</v>
      </c>
      <c r="E5" s="44" t="n">
        <v>0</v>
      </c>
      <c r="F5" s="44" t="n">
        <v>0</v>
      </c>
      <c r="G5" s="56">
        <f>SUM(C5:F5)</f>
        <v/>
      </c>
      <c r="H5" s="180">
        <f>B5-G5</f>
        <v/>
      </c>
    </row>
    <row r="6">
      <c r="A6" s="184" t="inlineStr">
        <is>
          <t>Share Capital &amp; Reserves</t>
        </is>
      </c>
      <c r="B6" s="25" t="n">
        <v>4</v>
      </c>
      <c r="C6" s="44" t="n">
        <v>0</v>
      </c>
      <c r="D6" s="44" t="n">
        <v>0</v>
      </c>
      <c r="E6" s="44" t="n">
        <v>0</v>
      </c>
      <c r="F6" s="44" t="n">
        <v>0</v>
      </c>
      <c r="G6" s="56">
        <f>SUM(C6:F6)</f>
        <v/>
      </c>
      <c r="H6" s="180">
        <f>B6-G6</f>
        <v/>
      </c>
    </row>
    <row r="7">
      <c r="A7" s="184" t="inlineStr">
        <is>
          <t>Fixed Assets &amp; Depreciation</t>
        </is>
      </c>
      <c r="B7" s="25" t="n">
        <v>10</v>
      </c>
      <c r="C7" s="44" t="n">
        <v>0</v>
      </c>
      <c r="D7" s="44" t="n">
        <v>0</v>
      </c>
      <c r="E7" s="44" t="n">
        <v>0</v>
      </c>
      <c r="F7" s="44" t="n">
        <v>0</v>
      </c>
      <c r="G7" s="56">
        <f>SUM(C7:F7)</f>
        <v/>
      </c>
      <c r="H7" s="180">
        <f>B7-G7</f>
        <v/>
      </c>
    </row>
    <row r="8">
      <c r="A8" s="184" t="inlineStr">
        <is>
          <t>Investments</t>
        </is>
      </c>
      <c r="B8" s="25" t="n">
        <v>5</v>
      </c>
      <c r="C8" s="44" t="n">
        <v>0</v>
      </c>
      <c r="D8" s="44" t="n">
        <v>0</v>
      </c>
      <c r="E8" s="44" t="n">
        <v>0</v>
      </c>
      <c r="F8" s="44" t="n">
        <v>0</v>
      </c>
      <c r="G8" s="56">
        <f>SUM(C8:F8)</f>
        <v/>
      </c>
      <c r="H8" s="180">
        <f>B8-G8</f>
        <v/>
      </c>
    </row>
    <row r="9">
      <c r="A9" s="184" t="inlineStr">
        <is>
          <t>Inventories</t>
        </is>
      </c>
      <c r="B9" s="25" t="n">
        <v>12</v>
      </c>
      <c r="C9" s="44" t="n">
        <v>0</v>
      </c>
      <c r="D9" s="44" t="n">
        <v>0</v>
      </c>
      <c r="E9" s="44" t="n">
        <v>0</v>
      </c>
      <c r="F9" s="44" t="n">
        <v>0</v>
      </c>
      <c r="G9" s="56">
        <f>SUM(C9:F9)</f>
        <v/>
      </c>
      <c r="H9" s="180">
        <f>B9-G9</f>
        <v/>
      </c>
    </row>
    <row r="10">
      <c r="A10" s="184" t="inlineStr">
        <is>
          <t>Trade Receivables</t>
        </is>
      </c>
      <c r="B10" s="25" t="n">
        <v>10</v>
      </c>
      <c r="C10" s="44" t="n">
        <v>0</v>
      </c>
      <c r="D10" s="44" t="n">
        <v>0</v>
      </c>
      <c r="E10" s="44" t="n">
        <v>0</v>
      </c>
      <c r="F10" s="44" t="n">
        <v>0</v>
      </c>
      <c r="G10" s="56">
        <f>SUM(C10:F10)</f>
        <v/>
      </c>
      <c r="H10" s="180">
        <f>B10-G10</f>
        <v/>
      </c>
    </row>
    <row r="11">
      <c r="A11" s="184" t="inlineStr">
        <is>
          <t>Cash &amp; Bank</t>
        </is>
      </c>
      <c r="B11" s="25" t="n">
        <v>6</v>
      </c>
      <c r="C11" s="44" t="n">
        <v>0</v>
      </c>
      <c r="D11" s="44" t="n">
        <v>0</v>
      </c>
      <c r="E11" s="44" t="n">
        <v>0</v>
      </c>
      <c r="F11" s="44" t="n">
        <v>0</v>
      </c>
      <c r="G11" s="56">
        <f>SUM(C11:F11)</f>
        <v/>
      </c>
      <c r="H11" s="180">
        <f>B11-G11</f>
        <v/>
      </c>
    </row>
    <row r="12">
      <c r="A12" s="184" t="inlineStr">
        <is>
          <t>Trade Payables &amp; Purchases</t>
        </is>
      </c>
      <c r="B12" s="25" t="n">
        <v>8</v>
      </c>
      <c r="C12" s="44" t="n">
        <v>0</v>
      </c>
      <c r="D12" s="44" t="n">
        <v>0</v>
      </c>
      <c r="E12" s="44" t="n">
        <v>0</v>
      </c>
      <c r="F12" s="44" t="n">
        <v>0</v>
      </c>
      <c r="G12" s="56">
        <f>SUM(C12:F12)</f>
        <v/>
      </c>
      <c r="H12" s="180">
        <f>B12-G12</f>
        <v/>
      </c>
    </row>
    <row r="13">
      <c r="A13" s="184" t="inlineStr">
        <is>
          <t>Provisions &amp; Contingencies</t>
        </is>
      </c>
      <c r="B13" s="25" t="n">
        <v>6</v>
      </c>
      <c r="C13" s="44" t="n">
        <v>0</v>
      </c>
      <c r="D13" s="44" t="n">
        <v>0</v>
      </c>
      <c r="E13" s="44" t="n">
        <v>0</v>
      </c>
      <c r="F13" s="44" t="n">
        <v>0</v>
      </c>
      <c r="G13" s="56">
        <f>SUM(C13:F13)</f>
        <v/>
      </c>
      <c r="H13" s="180">
        <f>B13-G13</f>
        <v/>
      </c>
    </row>
    <row r="14">
      <c r="A14" s="184" t="inlineStr">
        <is>
          <t>Related Party Transactions</t>
        </is>
      </c>
      <c r="B14" s="25" t="n">
        <v>6</v>
      </c>
      <c r="C14" s="44" t="n">
        <v>0</v>
      </c>
      <c r="D14" s="44" t="n">
        <v>0</v>
      </c>
      <c r="E14" s="44" t="n">
        <v>0</v>
      </c>
      <c r="F14" s="44" t="n">
        <v>0</v>
      </c>
      <c r="G14" s="56">
        <f>SUM(C14:F14)</f>
        <v/>
      </c>
      <c r="H14" s="180">
        <f>B14-G14</f>
        <v/>
      </c>
    </row>
    <row r="15">
      <c r="A15" s="184" t="inlineStr">
        <is>
          <t>Profit &amp; Loss Review</t>
        </is>
      </c>
      <c r="B15" s="25" t="n">
        <v>10</v>
      </c>
      <c r="C15" s="44" t="n">
        <v>0</v>
      </c>
      <c r="D15" s="44" t="n">
        <v>0</v>
      </c>
      <c r="E15" s="44" t="n">
        <v>0</v>
      </c>
      <c r="F15" s="44" t="n">
        <v>0</v>
      </c>
      <c r="G15" s="56">
        <f>SUM(C15:F15)</f>
        <v/>
      </c>
      <c r="H15" s="180">
        <f>B15-G15</f>
        <v/>
      </c>
    </row>
    <row r="16">
      <c r="A16" s="184" t="inlineStr">
        <is>
          <t>Statutory Compliance</t>
        </is>
      </c>
      <c r="B16" s="25" t="n">
        <v>8</v>
      </c>
      <c r="C16" s="44" t="n">
        <v>0</v>
      </c>
      <c r="D16" s="44" t="n">
        <v>0</v>
      </c>
      <c r="E16" s="44" t="n">
        <v>0</v>
      </c>
      <c r="F16" s="44" t="n">
        <v>0</v>
      </c>
      <c r="G16" s="56">
        <f>SUM(C16:F16)</f>
        <v/>
      </c>
      <c r="H16" s="180">
        <f>B16-G16</f>
        <v/>
      </c>
    </row>
    <row r="17">
      <c r="A17" s="184" t="inlineStr">
        <is>
          <t>CARO 2020</t>
        </is>
      </c>
      <c r="B17" s="25" t="n">
        <v>6</v>
      </c>
      <c r="C17" s="44" t="n">
        <v>0</v>
      </c>
      <c r="D17" s="44" t="n">
        <v>0</v>
      </c>
      <c r="E17" s="44" t="n">
        <v>0</v>
      </c>
      <c r="F17" s="44" t="n">
        <v>0</v>
      </c>
      <c r="G17" s="56">
        <f>SUM(C17:F17)</f>
        <v/>
      </c>
      <c r="H17" s="180">
        <f>B17-G17</f>
        <v/>
      </c>
    </row>
    <row r="18">
      <c r="A18" s="184" t="inlineStr">
        <is>
          <t>Form 3CD — Tax Audit</t>
        </is>
      </c>
      <c r="B18" s="25" t="n">
        <v>16</v>
      </c>
      <c r="C18" s="44" t="n">
        <v>0</v>
      </c>
      <c r="D18" s="44" t="n">
        <v>0</v>
      </c>
      <c r="E18" s="44" t="n">
        <v>0</v>
      </c>
      <c r="F18" s="44" t="n">
        <v>0</v>
      </c>
      <c r="G18" s="56">
        <f>SUM(C18:F18)</f>
        <v/>
      </c>
      <c r="H18" s="180">
        <f>B18-G18</f>
        <v/>
      </c>
    </row>
    <row r="19">
      <c r="A19" s="184" t="inlineStr">
        <is>
          <t>Notes to Accounts</t>
        </is>
      </c>
      <c r="B19" s="25" t="n">
        <v>8</v>
      </c>
      <c r="C19" s="44" t="n">
        <v>0</v>
      </c>
      <c r="D19" s="44" t="n">
        <v>0</v>
      </c>
      <c r="E19" s="44" t="n">
        <v>0</v>
      </c>
      <c r="F19" s="44" t="n">
        <v>0</v>
      </c>
      <c r="G19" s="56">
        <f>SUM(C19:F19)</f>
        <v/>
      </c>
      <c r="H19" s="180">
        <f>B19-G19</f>
        <v/>
      </c>
    </row>
    <row r="20">
      <c r="A20" s="184" t="inlineStr">
        <is>
          <t>Analytical Review</t>
        </is>
      </c>
      <c r="B20" s="25" t="n">
        <v>5</v>
      </c>
      <c r="C20" s="44" t="n">
        <v>0</v>
      </c>
      <c r="D20" s="44" t="n">
        <v>0</v>
      </c>
      <c r="E20" s="44" t="n">
        <v>0</v>
      </c>
      <c r="F20" s="44" t="n">
        <v>0</v>
      </c>
      <c r="G20" s="56">
        <f>SUM(C20:F20)</f>
        <v/>
      </c>
      <c r="H20" s="180">
        <f>B20-G20</f>
        <v/>
      </c>
    </row>
    <row r="21">
      <c r="A21" s="184" t="inlineStr">
        <is>
          <t>Completion &amp; Reporting</t>
        </is>
      </c>
      <c r="B21" s="25" t="n">
        <v>10</v>
      </c>
      <c r="C21" s="44" t="n">
        <v>0</v>
      </c>
      <c r="D21" s="44" t="n">
        <v>0</v>
      </c>
      <c r="E21" s="44" t="n">
        <v>0</v>
      </c>
      <c r="F21" s="44" t="n">
        <v>0</v>
      </c>
      <c r="G21" s="56">
        <f>SUM(C21:F21)</f>
        <v/>
      </c>
      <c r="H21" s="180">
        <f>B21-G21</f>
        <v/>
      </c>
    </row>
    <row r="22" ht="22" customHeight="1">
      <c r="A22" s="52" t="inlineStr">
        <is>
          <t>TOTAL</t>
        </is>
      </c>
      <c r="B22" s="57">
        <f>SUM(B4:B21)</f>
        <v/>
      </c>
      <c r="C22" s="57">
        <f>SUM(C4:C21)</f>
        <v/>
      </c>
      <c r="D22" s="57">
        <f>SUM(D4:D21)</f>
        <v/>
      </c>
      <c r="E22" s="57">
        <f>SUM(E4:E21)</f>
        <v/>
      </c>
      <c r="F22" s="57">
        <f>SUM(F4:F21)</f>
        <v/>
      </c>
      <c r="G22" s="57">
        <f>SUM(G4:G21)</f>
        <v/>
      </c>
      <c r="H22" s="57">
        <f>SUM(H4:H21)</f>
        <v/>
      </c>
    </row>
    <row r="24">
      <c r="A24" s="2" t="inlineStr">
        <is>
          <t>CHARGE-OUT RATES (₹ per hour)</t>
        </is>
      </c>
    </row>
    <row r="25">
      <c r="A25" s="182" t="inlineStr">
        <is>
          <t>Partner</t>
        </is>
      </c>
      <c r="B25" s="181" t="n">
        <v>5000</v>
      </c>
      <c r="C25" s="58" t="inlineStr">
        <is>
          <t>₹ per hour</t>
        </is>
      </c>
    </row>
    <row r="26">
      <c r="A26" s="182" t="inlineStr">
        <is>
          <t>Manager</t>
        </is>
      </c>
      <c r="B26" s="181" t="n">
        <v>2500</v>
      </c>
      <c r="C26" s="58" t="inlineStr">
        <is>
          <t>₹ per hour</t>
        </is>
      </c>
    </row>
    <row r="27">
      <c r="A27" s="182" t="inlineStr">
        <is>
          <t>Senior</t>
        </is>
      </c>
      <c r="B27" s="181" t="n">
        <v>1500</v>
      </c>
      <c r="C27" s="58" t="inlineStr">
        <is>
          <t>₹ per hour</t>
        </is>
      </c>
    </row>
    <row r="28">
      <c r="A28" s="182" t="inlineStr">
        <is>
          <t>Article Assistant</t>
        </is>
      </c>
      <c r="B28" s="181" t="n">
        <v>800</v>
      </c>
      <c r="C28" s="58" t="inlineStr">
        <is>
          <t>₹ per hour</t>
        </is>
      </c>
    </row>
  </sheetData>
  <mergeCells count="3">
    <mergeCell ref="A24:H24"/>
    <mergeCell ref="A2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8" customWidth="1" min="1" max="1"/>
    <col width="18" customWidth="1" min="2" max="2"/>
    <col width="18" customWidth="1" min="3" max="3"/>
    <col width="16" customWidth="1" min="4" max="4"/>
    <col width="35" customWidth="1" min="5" max="5"/>
    <col width="14" customWidth="1" min="6" max="6"/>
  </cols>
  <sheetData>
    <row r="1">
      <c r="A1" s="28" t="inlineStr">
        <is>
          <t>GST AUDIT &amp; GSTR-9C RECONCILIATION WORKBOOK  |  FY 2025-26  |  A.Y. 2026-27</t>
        </is>
      </c>
    </row>
    <row r="2">
      <c r="A2" s="61" t="inlineStr">
        <is>
          <t>Reconcile Books of Account → GSTR-3B → GSTR-1 → GSTR-9 → GSTR-9C. All figures in ₹.</t>
        </is>
      </c>
    </row>
    <row r="4">
      <c r="A4" s="2" t="inlineStr">
        <is>
          <t>PART 0 — GST REGISTRATION &amp; BASIC DETAILS</t>
        </is>
      </c>
    </row>
    <row r="5">
      <c r="A5" s="147" t="inlineStr">
        <is>
          <t>GSTIN</t>
        </is>
      </c>
      <c r="B5" s="148" t="inlineStr"/>
      <c r="C5" s="59" t="n"/>
      <c r="D5" s="59" t="n"/>
      <c r="E5" s="60" t="n"/>
      <c r="F5" s="149" t="inlineStr"/>
      <c r="G5" s="59" t="n"/>
      <c r="H5" s="59" t="n"/>
      <c r="I5" s="59" t="n"/>
      <c r="J5" s="60" t="n"/>
    </row>
    <row r="6">
      <c r="A6" s="147" t="inlineStr">
        <is>
          <t>Legal Name as per GST Portal</t>
        </is>
      </c>
      <c r="B6" s="148" t="inlineStr"/>
      <c r="C6" s="59" t="n"/>
      <c r="D6" s="59" t="n"/>
      <c r="E6" s="60" t="n"/>
      <c r="F6" s="149" t="inlineStr"/>
      <c r="G6" s="59" t="n"/>
      <c r="H6" s="59" t="n"/>
      <c r="I6" s="59" t="n"/>
      <c r="J6" s="60" t="n"/>
    </row>
    <row r="7">
      <c r="A7" s="147" t="inlineStr">
        <is>
          <t>Trade Name</t>
        </is>
      </c>
      <c r="B7" s="148" t="inlineStr"/>
      <c r="C7" s="59" t="n"/>
      <c r="D7" s="59" t="n"/>
      <c r="E7" s="60" t="n"/>
      <c r="F7" s="149" t="inlineStr"/>
      <c r="G7" s="59" t="n"/>
      <c r="H7" s="59" t="n"/>
      <c r="I7" s="59" t="n"/>
      <c r="J7" s="60" t="n"/>
    </row>
    <row r="8">
      <c r="A8" s="147" t="inlineStr">
        <is>
          <t>State</t>
        </is>
      </c>
      <c r="B8" s="148" t="inlineStr">
        <is>
          <t>Maharashtra</t>
        </is>
      </c>
      <c r="C8" s="59" t="n"/>
      <c r="D8" s="59" t="n"/>
      <c r="E8" s="60" t="n"/>
      <c r="F8" s="149" t="inlineStr"/>
      <c r="G8" s="59" t="n"/>
      <c r="H8" s="59" t="n"/>
      <c r="I8" s="59" t="n"/>
      <c r="J8" s="60" t="n"/>
    </row>
    <row r="9">
      <c r="A9" s="147" t="inlineStr">
        <is>
          <t>HSN / SAC (Primary)</t>
        </is>
      </c>
      <c r="B9" s="148" t="inlineStr"/>
      <c r="C9" s="59" t="n"/>
      <c r="D9" s="59" t="n"/>
      <c r="E9" s="60" t="n"/>
      <c r="F9" s="149" t="inlineStr"/>
      <c r="G9" s="59" t="n"/>
      <c r="H9" s="59" t="n"/>
      <c r="I9" s="59" t="n"/>
      <c r="J9" s="60" t="n"/>
    </row>
    <row r="10">
      <c r="A10" s="147" t="inlineStr">
        <is>
          <t>Category of Taxpayer</t>
        </is>
      </c>
      <c r="B10" s="148" t="inlineStr">
        <is>
          <t>Regular / Composition / SEZ / EOU</t>
        </is>
      </c>
      <c r="C10" s="59" t="n"/>
      <c r="D10" s="59" t="n"/>
      <c r="E10" s="60" t="n"/>
      <c r="F10" s="149" t="inlineStr"/>
      <c r="G10" s="59" t="n"/>
      <c r="H10" s="59" t="n"/>
      <c r="I10" s="59" t="n"/>
      <c r="J10" s="60" t="n"/>
    </row>
    <row r="11">
      <c r="A11" s="147" t="inlineStr">
        <is>
          <t>Annual Aggregate Turnover — FY 24-25</t>
        </is>
      </c>
      <c r="B11" s="148" t="inlineStr"/>
      <c r="C11" s="59" t="n"/>
      <c r="D11" s="59" t="n"/>
      <c r="E11" s="60" t="n"/>
      <c r="F11" s="149" t="inlineStr"/>
      <c r="G11" s="59" t="n"/>
      <c r="H11" s="59" t="n"/>
      <c r="I11" s="59" t="n"/>
      <c r="J11" s="60" t="n"/>
    </row>
    <row r="12">
      <c r="A12" s="147" t="inlineStr">
        <is>
          <t>Annual Aggregate Turnover — FY 25-26</t>
        </is>
      </c>
      <c r="B12" s="148" t="inlineStr"/>
      <c r="C12" s="59" t="n"/>
      <c r="D12" s="59" t="n"/>
      <c r="E12" s="60" t="n"/>
      <c r="F12" s="149" t="inlineStr"/>
      <c r="G12" s="59" t="n"/>
      <c r="H12" s="59" t="n"/>
      <c r="I12" s="59" t="n"/>
      <c r="J12" s="60" t="n"/>
    </row>
    <row r="13">
      <c r="A13" s="147" t="inlineStr">
        <is>
          <t>GSTR-9 Applicable?</t>
        </is>
      </c>
      <c r="B13" s="148" t="inlineStr">
        <is>
          <t>Yes (Turnover &gt; ₹2 Cr) / Exempt (≤ ₹2 Cr)</t>
        </is>
      </c>
      <c r="C13" s="59" t="n"/>
      <c r="D13" s="59" t="n"/>
      <c r="E13" s="60" t="n"/>
      <c r="F13" s="149" t="inlineStr"/>
      <c r="G13" s="59" t="n"/>
      <c r="H13" s="59" t="n"/>
      <c r="I13" s="59" t="n"/>
      <c r="J13" s="60" t="n"/>
    </row>
    <row r="14">
      <c r="A14" s="147" t="inlineStr">
        <is>
          <t>GSTR-9C Applicable?</t>
        </is>
      </c>
      <c r="B14" s="148" t="inlineStr">
        <is>
          <t>Yes (Turnover &gt; ₹5 Cr) / Exempt (≤ ₹5 Cr)</t>
        </is>
      </c>
      <c r="C14" s="59" t="n"/>
      <c r="D14" s="59" t="n"/>
      <c r="E14" s="60" t="n"/>
      <c r="F14" s="149" t="inlineStr"/>
      <c r="G14" s="59" t="n"/>
      <c r="H14" s="59" t="n"/>
      <c r="I14" s="59" t="n"/>
      <c r="J14" s="60" t="n"/>
    </row>
    <row r="15">
      <c r="A15" s="147" t="inlineStr">
        <is>
          <t>Due Date — GSTR-9</t>
        </is>
      </c>
      <c r="B15" s="148" t="inlineStr">
        <is>
          <t>31-Dec-2026</t>
        </is>
      </c>
      <c r="C15" s="59" t="n"/>
      <c r="D15" s="59" t="n"/>
      <c r="E15" s="60" t="n"/>
      <c r="F15" s="149" t="inlineStr"/>
      <c r="G15" s="59" t="n"/>
      <c r="H15" s="59" t="n"/>
      <c r="I15" s="59" t="n"/>
      <c r="J15" s="60" t="n"/>
    </row>
    <row r="16">
      <c r="A16" s="147" t="inlineStr">
        <is>
          <t>Due Date — GSTR-9C</t>
        </is>
      </c>
      <c r="B16" s="148" t="inlineStr">
        <is>
          <t>31-Dec-2026</t>
        </is>
      </c>
      <c r="C16" s="59" t="n"/>
      <c r="D16" s="59" t="n"/>
      <c r="E16" s="60" t="n"/>
      <c r="F16" s="149" t="inlineStr"/>
      <c r="G16" s="59" t="n"/>
      <c r="H16" s="59" t="n"/>
      <c r="I16" s="59" t="n"/>
      <c r="J16" s="60" t="n"/>
    </row>
    <row r="17">
      <c r="A17" s="147" t="inlineStr">
        <is>
          <t>CA Certifying GSTR-9C</t>
        </is>
      </c>
      <c r="B17" s="148" t="inlineStr">
        <is>
          <t>Pratap B Sheth</t>
        </is>
      </c>
      <c r="C17" s="59" t="n"/>
      <c r="D17" s="59" t="n"/>
      <c r="E17" s="60" t="n"/>
      <c r="F17" s="149" t="inlineStr"/>
      <c r="G17" s="59" t="n"/>
      <c r="H17" s="59" t="n"/>
      <c r="I17" s="59" t="n"/>
      <c r="J17" s="60" t="n"/>
    </row>
    <row r="19">
      <c r="A19" s="2" t="inlineStr">
        <is>
          <t>PART 1 — TURNOVER RECONCILIATION (Table 5 of GSTR-9C)</t>
        </is>
      </c>
    </row>
    <row r="20">
      <c r="A20" s="150" t="inlineStr">
        <is>
          <t>Particulars</t>
        </is>
      </c>
      <c r="B20" s="150" t="inlineStr">
        <is>
          <t>Books of Account (₹)</t>
        </is>
      </c>
      <c r="C20" s="150" t="inlineStr">
        <is>
          <t>GSTR-9 (₹)</t>
        </is>
      </c>
      <c r="D20" s="150" t="inlineStr">
        <is>
          <t>Difference (₹)</t>
        </is>
      </c>
      <c r="E20" s="150" t="inlineStr">
        <is>
          <t>Reason for Difference</t>
        </is>
      </c>
      <c r="F20" s="150" t="inlineStr">
        <is>
          <t>Status</t>
        </is>
      </c>
    </row>
    <row r="21" ht="28" customHeight="1">
      <c r="A21" s="39" t="inlineStr">
        <is>
          <t>A. Turnover (as per audited FS) — Gross Revenue from Operations</t>
        </is>
      </c>
      <c r="B21" s="151" t="n">
        <v>0</v>
      </c>
      <c r="C21" s="151" t="n">
        <v>0</v>
      </c>
      <c r="D21" s="152">
        <f>B21-C21</f>
        <v/>
      </c>
      <c r="E21" s="34" t="inlineStr"/>
      <c r="F21" s="153" t="inlineStr">
        <is>
          <t>Pending ⏳</t>
        </is>
      </c>
    </row>
    <row r="22" ht="28" customHeight="1">
      <c r="A22" s="34" t="inlineStr">
        <is>
          <t>Less: Unbilled Revenue (opening) / Add: Unbilled Revenue (closing)</t>
        </is>
      </c>
      <c r="B22" s="154" t="inlineStr"/>
      <c r="C22" s="154" t="inlineStr"/>
      <c r="D22" s="155">
        <f>B22-C22</f>
        <v/>
      </c>
      <c r="E22" s="34" t="inlineStr"/>
      <c r="F22" s="153" t="inlineStr">
        <is>
          <t>Pending ⏳</t>
        </is>
      </c>
    </row>
    <row r="23" ht="28" customHeight="1">
      <c r="A23" s="34" t="inlineStr">
        <is>
          <t>Less: Unadjusted Advances (opening) / Add: Unadjusted Advances (closing)</t>
        </is>
      </c>
      <c r="B23" s="154" t="inlineStr"/>
      <c r="C23" s="154" t="inlineStr"/>
      <c r="D23" s="155">
        <f>B23-C23</f>
        <v/>
      </c>
      <c r="E23" s="34" t="inlineStr"/>
      <c r="F23" s="153" t="inlineStr">
        <is>
          <t>Pending ⏳</t>
        </is>
      </c>
    </row>
    <row r="24" ht="28" customHeight="1">
      <c r="A24" s="34" t="inlineStr">
        <is>
          <t>Less: Trade Discounts / Volume Rebates not included in invoice</t>
        </is>
      </c>
      <c r="B24" s="154" t="inlineStr"/>
      <c r="C24" s="154" t="inlineStr"/>
      <c r="D24" s="155">
        <f>B24-C24</f>
        <v/>
      </c>
      <c r="E24" s="34" t="inlineStr"/>
      <c r="F24" s="153" t="inlineStr">
        <is>
          <t>Pending ⏳</t>
        </is>
      </c>
    </row>
    <row r="25" ht="28" customHeight="1">
      <c r="A25" s="34" t="inlineStr">
        <is>
          <t>Less: GST collected on Outward Supplies (if included in Turnover)</t>
        </is>
      </c>
      <c r="B25" s="154" t="inlineStr"/>
      <c r="C25" s="154" t="inlineStr"/>
      <c r="D25" s="155">
        <f>B25-C25</f>
        <v/>
      </c>
      <c r="E25" s="34" t="inlineStr"/>
      <c r="F25" s="153" t="inlineStr">
        <is>
          <t>Pending ⏳</t>
        </is>
      </c>
    </row>
    <row r="26" ht="28" customHeight="1">
      <c r="A26" s="34" t="inlineStr">
        <is>
          <t>Add: Deemed Exports / Exports under LUT / Zero-rated supplies</t>
        </is>
      </c>
      <c r="B26" s="154" t="inlineStr"/>
      <c r="C26" s="154" t="inlineStr"/>
      <c r="D26" s="155">
        <f>B26-C26</f>
        <v/>
      </c>
      <c r="E26" s="34" t="inlineStr"/>
      <c r="F26" s="153" t="inlineStr">
        <is>
          <t>Pending ⏳</t>
        </is>
      </c>
    </row>
    <row r="27" ht="28" customHeight="1">
      <c r="A27" s="34" t="inlineStr">
        <is>
          <t>Add: SEZ Supplies without payment of tax</t>
        </is>
      </c>
      <c r="B27" s="154" t="inlineStr"/>
      <c r="C27" s="154" t="inlineStr"/>
      <c r="D27" s="155">
        <f>B27-C27</f>
        <v/>
      </c>
      <c r="E27" s="34" t="inlineStr"/>
      <c r="F27" s="153" t="inlineStr">
        <is>
          <t>Pending ⏳</t>
        </is>
      </c>
    </row>
    <row r="28" ht="28" customHeight="1">
      <c r="A28" s="34" t="inlineStr">
        <is>
          <t>Add: Exempt Supplies (Nil rated + Exempt)</t>
        </is>
      </c>
      <c r="B28" s="154" t="inlineStr"/>
      <c r="C28" s="154" t="inlineStr"/>
      <c r="D28" s="155">
        <f>B28-C28</f>
        <v/>
      </c>
      <c r="E28" s="34" t="inlineStr"/>
      <c r="F28" s="153" t="inlineStr">
        <is>
          <t>Pending ⏳</t>
        </is>
      </c>
    </row>
    <row r="29" ht="28" customHeight="1">
      <c r="A29" s="34" t="inlineStr">
        <is>
          <t>Add: Non-GST Supplies (Petrol, Alcohol etc.)</t>
        </is>
      </c>
      <c r="B29" s="154" t="inlineStr"/>
      <c r="C29" s="154" t="inlineStr"/>
      <c r="D29" s="155">
        <f>B29-C29</f>
        <v/>
      </c>
      <c r="E29" s="34" t="inlineStr"/>
      <c r="F29" s="153" t="inlineStr">
        <is>
          <t>Pending ⏳</t>
        </is>
      </c>
    </row>
    <row r="30" ht="28" customHeight="1">
      <c r="A30" s="34" t="inlineStr">
        <is>
          <t>Add: Advances received during year (if not invoiced)</t>
        </is>
      </c>
      <c r="B30" s="154" t="inlineStr"/>
      <c r="C30" s="154" t="inlineStr"/>
      <c r="D30" s="155">
        <f>B30-C30</f>
        <v/>
      </c>
      <c r="E30" s="34" t="inlineStr"/>
      <c r="F30" s="153" t="inlineStr">
        <is>
          <t>Pending ⏳</t>
        </is>
      </c>
    </row>
    <row r="31" ht="28" customHeight="1">
      <c r="A31" s="34" t="inlineStr">
        <is>
          <t>Less: Supply on which recipient discharges liability (RCM — outward)</t>
        </is>
      </c>
      <c r="B31" s="154" t="inlineStr"/>
      <c r="C31" s="154" t="inlineStr"/>
      <c r="D31" s="155">
        <f>B31-C31</f>
        <v/>
      </c>
      <c r="E31" s="34" t="inlineStr"/>
      <c r="F31" s="153" t="inlineStr">
        <is>
          <t>Pending ⏳</t>
        </is>
      </c>
    </row>
    <row r="32" ht="28" customHeight="1">
      <c r="A32" s="39" t="inlineStr">
        <is>
          <t>B. Annual Turnover as per GSTR-9 (Table 5N)</t>
        </is>
      </c>
      <c r="B32" s="151" t="n">
        <v>0</v>
      </c>
      <c r="C32" s="151" t="n">
        <v>0</v>
      </c>
      <c r="D32" s="152">
        <f>B32-C32</f>
        <v/>
      </c>
      <c r="E32" s="34" t="inlineStr"/>
      <c r="F32" s="153" t="inlineStr">
        <is>
          <t>Pending ⏳</t>
        </is>
      </c>
    </row>
    <row r="33" ht="28" customHeight="1">
      <c r="A33" s="39" t="inlineStr">
        <is>
          <t>Difference (A minus B) — should be NIL / explainable</t>
        </is>
      </c>
      <c r="B33" s="151" t="n">
        <v>0</v>
      </c>
      <c r="C33" s="151" t="n">
        <v>0</v>
      </c>
      <c r="D33" s="152">
        <f>B33-C33</f>
        <v/>
      </c>
      <c r="E33" s="34" t="inlineStr"/>
      <c r="F33" s="153" t="inlineStr">
        <is>
          <t>Pending ⏳</t>
        </is>
      </c>
    </row>
    <row r="35">
      <c r="A35" s="2" t="inlineStr">
        <is>
          <t>PART 2 — INPUT TAX CREDIT RECONCILIATION (Table 12 of GSTR-9C)</t>
        </is>
      </c>
    </row>
    <row r="36">
      <c r="A36" s="150" t="inlineStr">
        <is>
          <t>Particulars</t>
        </is>
      </c>
      <c r="B36" s="150" t="inlineStr">
        <is>
          <t>Books of Account (₹)</t>
        </is>
      </c>
      <c r="C36" s="150" t="inlineStr">
        <is>
          <t>GSTR-9 (₹)</t>
        </is>
      </c>
      <c r="D36" s="150" t="inlineStr">
        <is>
          <t>Difference (₹)</t>
        </is>
      </c>
      <c r="E36" s="150" t="inlineStr">
        <is>
          <t>Reason for Difference</t>
        </is>
      </c>
      <c r="F36" s="150" t="inlineStr">
        <is>
          <t>Status</t>
        </is>
      </c>
    </row>
    <row r="37" ht="28" customHeight="1">
      <c r="A37" s="39" t="inlineStr">
        <is>
          <t>A. ITC availed as per audited FS (Purchases / Expenses net of GST paid)</t>
        </is>
      </c>
      <c r="B37" s="151" t="n">
        <v>0</v>
      </c>
      <c r="C37" s="151" t="n">
        <v>0</v>
      </c>
      <c r="D37" s="152">
        <f>B37-C37</f>
        <v/>
      </c>
      <c r="E37" s="34" t="inlineStr"/>
      <c r="F37" s="153" t="inlineStr">
        <is>
          <t>Pending ⏳</t>
        </is>
      </c>
    </row>
    <row r="38" ht="28" customHeight="1">
      <c r="A38" s="34" t="inlineStr">
        <is>
          <t>Add: ITC on Reverse Charge Mechanism (RCM) — paid and claimed</t>
        </is>
      </c>
      <c r="B38" s="154" t="inlineStr"/>
      <c r="C38" s="154" t="inlineStr"/>
      <c r="D38" s="155">
        <f>B38-C38</f>
        <v/>
      </c>
      <c r="E38" s="34" t="inlineStr"/>
      <c r="F38" s="153" t="inlineStr">
        <is>
          <t>Pending ⏳</t>
        </is>
      </c>
    </row>
    <row r="39" ht="28" customHeight="1">
      <c r="A39" s="34" t="inlineStr">
        <is>
          <t>Less: ITC on Exempt / Non-GST Supplies (Sec 17(2) reversal)</t>
        </is>
      </c>
      <c r="B39" s="154" t="inlineStr"/>
      <c r="C39" s="154" t="inlineStr"/>
      <c r="D39" s="155">
        <f>B39-C39</f>
        <v/>
      </c>
      <c r="E39" s="34" t="inlineStr"/>
      <c r="F39" s="153" t="inlineStr">
        <is>
          <t>Pending ⏳</t>
        </is>
      </c>
    </row>
    <row r="40" ht="28" customHeight="1">
      <c r="A40" s="34" t="inlineStr">
        <is>
          <t>Less: ITC on Personal / Non-business use (Rule 42/43 reversal)</t>
        </is>
      </c>
      <c r="B40" s="154" t="inlineStr"/>
      <c r="C40" s="154" t="inlineStr"/>
      <c r="D40" s="155">
        <f>B40-C40</f>
        <v/>
      </c>
      <c r="E40" s="34" t="inlineStr"/>
      <c r="F40" s="153" t="inlineStr">
        <is>
          <t>Pending ⏳</t>
        </is>
      </c>
    </row>
    <row r="41" ht="28" customHeight="1">
      <c r="A41" s="34" t="inlineStr">
        <is>
          <t>Less: Blocked Credits u/s 17(5) — Motor vehicles, Food, Club, etc.</t>
        </is>
      </c>
      <c r="B41" s="154" t="inlineStr"/>
      <c r="C41" s="154" t="inlineStr"/>
      <c r="D41" s="155">
        <f>B41-C41</f>
        <v/>
      </c>
      <c r="E41" s="34" t="inlineStr"/>
      <c r="F41" s="153" t="inlineStr">
        <is>
          <t>Pending ⏳</t>
        </is>
      </c>
    </row>
    <row r="42" ht="28" customHeight="1">
      <c r="A42" s="34" t="inlineStr">
        <is>
          <t>Less: ITC written off / reversed — supplier payment not made within 180 days (Rule 37)</t>
        </is>
      </c>
      <c r="B42" s="154" t="inlineStr"/>
      <c r="C42" s="154" t="inlineStr"/>
      <c r="D42" s="155">
        <f>B42-C42</f>
        <v/>
      </c>
      <c r="E42" s="34" t="inlineStr"/>
      <c r="F42" s="153" t="inlineStr">
        <is>
          <t>Pending ⏳</t>
        </is>
      </c>
    </row>
    <row r="43" ht="28" customHeight="1">
      <c r="A43" s="34" t="inlineStr">
        <is>
          <t>Less: Annual Reversal — Rule 42/43 adjustment in GSTR-9</t>
        </is>
      </c>
      <c r="B43" s="154" t="inlineStr"/>
      <c r="C43" s="154" t="inlineStr"/>
      <c r="D43" s="155">
        <f>B43-C43</f>
        <v/>
      </c>
      <c r="E43" s="34" t="inlineStr"/>
      <c r="F43" s="153" t="inlineStr">
        <is>
          <t>Pending ⏳</t>
        </is>
      </c>
    </row>
    <row r="44" ht="28" customHeight="1">
      <c r="A44" s="34" t="inlineStr">
        <is>
          <t>Add: ITC of previous year claimed in current year (GSTR-2B mismatch resolution)</t>
        </is>
      </c>
      <c r="B44" s="154" t="inlineStr"/>
      <c r="C44" s="154" t="inlineStr"/>
      <c r="D44" s="155">
        <f>B44-C44</f>
        <v/>
      </c>
      <c r="E44" s="34" t="inlineStr"/>
      <c r="F44" s="153" t="inlineStr">
        <is>
          <t>Pending ⏳</t>
        </is>
      </c>
    </row>
    <row r="45" ht="28" customHeight="1">
      <c r="A45" s="39" t="inlineStr">
        <is>
          <t>B. Net ITC as per GSTR-9 (Table 7J)</t>
        </is>
      </c>
      <c r="B45" s="151" t="n">
        <v>0</v>
      </c>
      <c r="C45" s="151" t="n">
        <v>0</v>
      </c>
      <c r="D45" s="152">
        <f>B45-C45</f>
        <v/>
      </c>
      <c r="E45" s="34" t="inlineStr"/>
      <c r="F45" s="153" t="inlineStr">
        <is>
          <t>Pending ⏳</t>
        </is>
      </c>
    </row>
    <row r="46" ht="28" customHeight="1">
      <c r="A46" s="39" t="inlineStr">
        <is>
          <t>Difference (A minus B) — should be NIL / explainable</t>
        </is>
      </c>
      <c r="B46" s="151" t="n">
        <v>0</v>
      </c>
      <c r="C46" s="151" t="n">
        <v>0</v>
      </c>
      <c r="D46" s="152">
        <f>B46-C46</f>
        <v/>
      </c>
      <c r="E46" s="34" t="inlineStr"/>
      <c r="F46" s="153" t="inlineStr">
        <is>
          <t>Pending ⏳</t>
        </is>
      </c>
    </row>
    <row r="48">
      <c r="A48" s="2" t="inlineStr">
        <is>
          <t>PART 3 — TAX PAYABLE RECONCILIATION (Table 9 of GSTR-9C)</t>
        </is>
      </c>
    </row>
    <row r="49">
      <c r="A49" s="150" t="inlineStr">
        <is>
          <t>Particulars</t>
        </is>
      </c>
      <c r="B49" s="150" t="inlineStr">
        <is>
          <t>Rate (%)</t>
        </is>
      </c>
      <c r="C49" s="150" t="inlineStr">
        <is>
          <t>Taxable Value (₹)</t>
        </is>
      </c>
      <c r="D49" s="150" t="inlineStr">
        <is>
          <t>IGST (₹)</t>
        </is>
      </c>
      <c r="E49" s="150" t="inlineStr">
        <is>
          <t>CGST (₹)</t>
        </is>
      </c>
      <c r="F49" s="150" t="inlineStr">
        <is>
          <t>SGST (₹)</t>
        </is>
      </c>
      <c r="G49" s="150" t="inlineStr">
        <is>
          <t>Cess (₹)</t>
        </is>
      </c>
      <c r="H49" s="150" t="inlineStr">
        <is>
          <t>Total Tax (₹)</t>
        </is>
      </c>
      <c r="I49" s="150" t="inlineStr">
        <is>
          <t>Source</t>
        </is>
      </c>
      <c r="J49" s="150" t="inlineStr">
        <is>
          <t>Status</t>
        </is>
      </c>
    </row>
    <row r="50" ht="25" customHeight="1">
      <c r="A50" s="34" t="inlineStr">
        <is>
          <t>Outward Taxable Supplies — Regular (5%)</t>
        </is>
      </c>
      <c r="B50" s="156" t="inlineStr">
        <is>
          <t>5%</t>
        </is>
      </c>
      <c r="C50" s="154" t="n">
        <v>0</v>
      </c>
      <c r="D50" s="154" t="n">
        <v>0</v>
      </c>
      <c r="E50" s="154" t="n">
        <v>0</v>
      </c>
      <c r="F50" s="154" t="n">
        <v>0</v>
      </c>
      <c r="G50" s="154" t="n">
        <v>0</v>
      </c>
      <c r="H50" s="154" t="n">
        <v>0</v>
      </c>
      <c r="I50" s="157" t="inlineStr">
        <is>
          <t>GSTR-3B</t>
        </is>
      </c>
      <c r="J50" s="153" t="inlineStr">
        <is>
          <t>Pending ⏳</t>
        </is>
      </c>
    </row>
    <row r="51" ht="25" customHeight="1">
      <c r="A51" s="34" t="inlineStr">
        <is>
          <t>Outward Taxable Supplies — Regular (12%)</t>
        </is>
      </c>
      <c r="B51" s="156" t="inlineStr">
        <is>
          <t>12%</t>
        </is>
      </c>
      <c r="C51" s="154" t="n">
        <v>0</v>
      </c>
      <c r="D51" s="154" t="n">
        <v>0</v>
      </c>
      <c r="E51" s="154" t="n">
        <v>0</v>
      </c>
      <c r="F51" s="154" t="n">
        <v>0</v>
      </c>
      <c r="G51" s="154" t="n">
        <v>0</v>
      </c>
      <c r="H51" s="154" t="n">
        <v>0</v>
      </c>
      <c r="I51" s="157" t="inlineStr">
        <is>
          <t>GSTR-3B</t>
        </is>
      </c>
      <c r="J51" s="153" t="inlineStr">
        <is>
          <t>Pending ⏳</t>
        </is>
      </c>
    </row>
    <row r="52" ht="25" customHeight="1">
      <c r="A52" s="34" t="inlineStr">
        <is>
          <t>Outward Taxable Supplies — Regular (18%)</t>
        </is>
      </c>
      <c r="B52" s="156" t="inlineStr">
        <is>
          <t>18%</t>
        </is>
      </c>
      <c r="C52" s="154" t="n">
        <v>0</v>
      </c>
      <c r="D52" s="154" t="n">
        <v>0</v>
      </c>
      <c r="E52" s="154" t="n">
        <v>0</v>
      </c>
      <c r="F52" s="154" t="n">
        <v>0</v>
      </c>
      <c r="G52" s="154" t="n">
        <v>0</v>
      </c>
      <c r="H52" s="154" t="n">
        <v>0</v>
      </c>
      <c r="I52" s="157" t="inlineStr">
        <is>
          <t>GSTR-3B</t>
        </is>
      </c>
      <c r="J52" s="153" t="inlineStr">
        <is>
          <t>Pending ⏳</t>
        </is>
      </c>
    </row>
    <row r="53" ht="25" customHeight="1">
      <c r="A53" s="34" t="inlineStr">
        <is>
          <t>Outward Taxable Supplies — Regular (28%)</t>
        </is>
      </c>
      <c r="B53" s="156" t="inlineStr">
        <is>
          <t>28%</t>
        </is>
      </c>
      <c r="C53" s="154" t="n">
        <v>0</v>
      </c>
      <c r="D53" s="154" t="n">
        <v>0</v>
      </c>
      <c r="E53" s="154" t="n">
        <v>0</v>
      </c>
      <c r="F53" s="154" t="n">
        <v>0</v>
      </c>
      <c r="G53" s="154" t="n">
        <v>0</v>
      </c>
      <c r="H53" s="154" t="n">
        <v>0</v>
      </c>
      <c r="I53" s="157" t="inlineStr">
        <is>
          <t>GSTR-3B</t>
        </is>
      </c>
      <c r="J53" s="153" t="inlineStr">
        <is>
          <t>Pending ⏳</t>
        </is>
      </c>
    </row>
    <row r="54" ht="25" customHeight="1">
      <c r="A54" s="34" t="inlineStr">
        <is>
          <t>Zero Rated — Exports (0%)</t>
        </is>
      </c>
      <c r="B54" s="156" t="inlineStr">
        <is>
          <t>0%</t>
        </is>
      </c>
      <c r="C54" s="154" t="n">
        <v>0</v>
      </c>
      <c r="D54" s="154" t="n">
        <v>0</v>
      </c>
      <c r="E54" s="154" t="n">
        <v>0</v>
      </c>
      <c r="F54" s="154" t="n">
        <v>0</v>
      </c>
      <c r="G54" s="154" t="n">
        <v>0</v>
      </c>
      <c r="H54" s="154" t="n">
        <v>0</v>
      </c>
      <c r="I54" s="157" t="inlineStr">
        <is>
          <t>GSTR-3B</t>
        </is>
      </c>
      <c r="J54" s="153" t="inlineStr">
        <is>
          <t>Pending ⏳</t>
        </is>
      </c>
    </row>
    <row r="55" ht="25" customHeight="1">
      <c r="A55" s="34" t="inlineStr">
        <is>
          <t>Exempt / Nil Rated Supplies</t>
        </is>
      </c>
      <c r="B55" s="156" t="inlineStr">
        <is>
          <t>0%</t>
        </is>
      </c>
      <c r="C55" s="154" t="n">
        <v>0</v>
      </c>
      <c r="D55" s="154" t="n">
        <v>0</v>
      </c>
      <c r="E55" s="154" t="n">
        <v>0</v>
      </c>
      <c r="F55" s="154" t="n">
        <v>0</v>
      </c>
      <c r="G55" s="154" t="n">
        <v>0</v>
      </c>
      <c r="H55" s="154" t="n">
        <v>0</v>
      </c>
      <c r="I55" s="157" t="inlineStr">
        <is>
          <t>GSTR-3B</t>
        </is>
      </c>
      <c r="J55" s="153" t="inlineStr">
        <is>
          <t>Pending ⏳</t>
        </is>
      </c>
    </row>
    <row r="56" ht="25" customHeight="1">
      <c r="A56" s="34" t="inlineStr">
        <is>
          <t>Inward Supplies under RCM — Liable to pay GST</t>
        </is>
      </c>
      <c r="B56" s="156" t="inlineStr">
        <is>
          <t>18%</t>
        </is>
      </c>
      <c r="C56" s="154" t="n">
        <v>0</v>
      </c>
      <c r="D56" s="154" t="n">
        <v>0</v>
      </c>
      <c r="E56" s="154" t="n">
        <v>0</v>
      </c>
      <c r="F56" s="154" t="n">
        <v>0</v>
      </c>
      <c r="G56" s="154" t="n">
        <v>0</v>
      </c>
      <c r="H56" s="154" t="n">
        <v>0</v>
      </c>
      <c r="I56" s="157" t="inlineStr">
        <is>
          <t>GSTR-3B</t>
        </is>
      </c>
      <c r="J56" s="153" t="inlineStr">
        <is>
          <t>Pending ⏳</t>
        </is>
      </c>
    </row>
    <row r="57" ht="25" customHeight="1">
      <c r="A57" s="39" t="inlineStr">
        <is>
          <t>Tax paid as per GSTR-9</t>
        </is>
      </c>
      <c r="B57" s="156" t="inlineStr"/>
      <c r="C57" s="158" t="inlineStr"/>
      <c r="D57" s="158" t="inlineStr"/>
      <c r="E57" s="158" t="inlineStr"/>
      <c r="F57" s="158" t="inlineStr"/>
      <c r="G57" s="158" t="inlineStr"/>
      <c r="H57" s="158" t="inlineStr"/>
      <c r="I57" s="157" t="inlineStr"/>
      <c r="J57" s="153" t="inlineStr">
        <is>
          <t>Pending ⏳</t>
        </is>
      </c>
    </row>
    <row r="58" ht="25" customHeight="1">
      <c r="A58" s="39" t="inlineStr">
        <is>
          <t>Tax paid as per GSTR-9C (Auditor's Verification)</t>
        </is>
      </c>
      <c r="B58" s="156" t="inlineStr"/>
      <c r="C58" s="158" t="inlineStr"/>
      <c r="D58" s="158" t="inlineStr"/>
      <c r="E58" s="158" t="inlineStr"/>
      <c r="F58" s="158" t="inlineStr"/>
      <c r="G58" s="158" t="inlineStr"/>
      <c r="H58" s="158" t="inlineStr"/>
      <c r="I58" s="157" t="inlineStr"/>
      <c r="J58" s="153" t="inlineStr">
        <is>
          <t>Pending ⏳</t>
        </is>
      </c>
    </row>
    <row r="59" ht="25" customHeight="1">
      <c r="A59" s="39" t="inlineStr">
        <is>
          <t>Unreconciled Difference / Short Payment</t>
        </is>
      </c>
      <c r="B59" s="156" t="inlineStr"/>
      <c r="C59" s="158" t="inlineStr"/>
      <c r="D59" s="158" t="inlineStr"/>
      <c r="E59" s="158" t="inlineStr"/>
      <c r="F59" s="158" t="inlineStr"/>
      <c r="G59" s="158" t="inlineStr"/>
      <c r="H59" s="158" t="inlineStr"/>
      <c r="I59" s="157" t="inlineStr"/>
      <c r="J59" s="153" t="inlineStr">
        <is>
          <t>Pending ⏳</t>
        </is>
      </c>
    </row>
    <row r="61">
      <c r="A61" s="2" t="inlineStr">
        <is>
          <t>PART 4 — GST AUDIT CHECKLIST (GSTR-9C CERTIFICATION CHECKS)</t>
        </is>
      </c>
    </row>
    <row r="62">
      <c r="A62" s="150" t="inlineStr">
        <is>
          <t>Sr.</t>
        </is>
      </c>
      <c r="B62" s="150" t="inlineStr">
        <is>
          <t>Audit Check Point</t>
        </is>
      </c>
      <c r="C62" s="150" t="inlineStr">
        <is>
          <t>Procedure</t>
        </is>
      </c>
      <c r="D62" s="150" t="inlineStr">
        <is>
          <t>Status</t>
        </is>
      </c>
      <c r="E62" s="150" t="inlineStr">
        <is>
          <t>Observation</t>
        </is>
      </c>
      <c r="F62" s="150" t="inlineStr">
        <is>
          <t>Risk</t>
        </is>
      </c>
    </row>
    <row r="63" ht="38" customHeight="1">
      <c r="A63" s="159" t="n">
        <v>1</v>
      </c>
      <c r="B63" s="40" t="inlineStr">
        <is>
          <t>GSTR-1 vs Books — Reconcile outward supply turnover month-by-month</t>
        </is>
      </c>
      <c r="C63" s="40" t="inlineStr">
        <is>
          <t>Download GSTR-1 summary; reconcile HSN-wise with books</t>
        </is>
      </c>
      <c r="D63" s="153" t="inlineStr">
        <is>
          <t>Pending ⏳</t>
        </is>
      </c>
      <c r="E63" s="34" t="inlineStr"/>
      <c r="F63" s="160" t="inlineStr">
        <is>
          <t>Medium</t>
        </is>
      </c>
    </row>
    <row r="64" ht="38" customHeight="1">
      <c r="A64" s="159" t="n">
        <v>2</v>
      </c>
      <c r="B64" s="34" t="inlineStr">
        <is>
          <t>GSTR-3B vs GSTR-1 — Verify liability declared in 3B ≥ liability in GSTR-1</t>
        </is>
      </c>
      <c r="C64" s="34" t="inlineStr">
        <is>
          <t>Compare Table 3 of GSTR-3B with GSTR-1 totals for each month</t>
        </is>
      </c>
      <c r="D64" s="153" t="inlineStr">
        <is>
          <t>Pending ⏳</t>
        </is>
      </c>
      <c r="E64" s="34" t="inlineStr"/>
      <c r="F64" s="160" t="inlineStr">
        <is>
          <t>Medium</t>
        </is>
      </c>
    </row>
    <row r="65" ht="38" customHeight="1">
      <c r="A65" s="159" t="n">
        <v>3</v>
      </c>
      <c r="B65" s="40" t="inlineStr">
        <is>
          <t>GSTR-2B vs Purchase Ledger — ITC availed vs ITC available</t>
        </is>
      </c>
      <c r="C65" s="40" t="inlineStr">
        <is>
          <t>Download GSTR-2B; compare with ITC availed in GSTR-3B Table 4</t>
        </is>
      </c>
      <c r="D65" s="153" t="inlineStr">
        <is>
          <t>Pending ⏳</t>
        </is>
      </c>
      <c r="E65" s="34" t="inlineStr"/>
      <c r="F65" s="160" t="inlineStr">
        <is>
          <t>Medium</t>
        </is>
      </c>
    </row>
    <row r="66" ht="38" customHeight="1">
      <c r="A66" s="159" t="n">
        <v>4</v>
      </c>
      <c r="B66" s="34" t="inlineStr">
        <is>
          <t>E-Invoicing Compliance — Verify e-invoices generated for B2B invoices &gt;₹5 Cr</t>
        </is>
      </c>
      <c r="C66" s="34" t="inlineStr">
        <is>
          <t>Check IRP registration; review cancelled invoices; verify IRN on each invoice</t>
        </is>
      </c>
      <c r="D66" s="153" t="inlineStr">
        <is>
          <t>Pending ⏳</t>
        </is>
      </c>
      <c r="E66" s="34" t="inlineStr"/>
      <c r="F66" s="160" t="inlineStr">
        <is>
          <t>Medium</t>
        </is>
      </c>
    </row>
    <row r="67" ht="38" customHeight="1">
      <c r="A67" s="159" t="n">
        <v>5</v>
      </c>
      <c r="B67" s="40" t="inlineStr">
        <is>
          <t>E-Way Bill compliance — Verify EWB for supplies &gt;₹50,000</t>
        </is>
      </c>
      <c r="C67" s="40" t="inlineStr">
        <is>
          <t>Obtain EWB summary from portal; match with outward supply register</t>
        </is>
      </c>
      <c r="D67" s="153" t="inlineStr">
        <is>
          <t>Pending ⏳</t>
        </is>
      </c>
      <c r="E67" s="34" t="inlineStr"/>
      <c r="F67" s="160" t="inlineStr">
        <is>
          <t>Medium</t>
        </is>
      </c>
    </row>
    <row r="68" ht="38" customHeight="1">
      <c r="A68" s="159" t="n">
        <v>6</v>
      </c>
      <c r="B68" s="34" t="inlineStr">
        <is>
          <t>RCM Compliance — All RCM supplies identified, GST paid, ITC claimed</t>
        </is>
      </c>
      <c r="C68" s="34" t="inlineStr">
        <is>
          <t>Review vendor list for unregistered / reverse charge category; verify payment challans</t>
        </is>
      </c>
      <c r="D68" s="153" t="inlineStr">
        <is>
          <t>Pending ⏳</t>
        </is>
      </c>
      <c r="E68" s="34" t="inlineStr"/>
      <c r="F68" s="160" t="inlineStr">
        <is>
          <t>Medium</t>
        </is>
      </c>
    </row>
    <row r="69" ht="38" customHeight="1">
      <c r="A69" s="159" t="n">
        <v>7</v>
      </c>
      <c r="B69" s="40" t="inlineStr">
        <is>
          <t>Export Compliance — LUT furnished, BRC received, IGST refund status</t>
        </is>
      </c>
      <c r="C69" s="40" t="inlineStr">
        <is>
          <t>Verify LUT (FORM RFD-11); Bank Realization Certificates; refund orders</t>
        </is>
      </c>
      <c r="D69" s="153" t="inlineStr">
        <is>
          <t>Pending ⏳</t>
        </is>
      </c>
      <c r="E69" s="34" t="inlineStr"/>
      <c r="F69" s="160" t="inlineStr">
        <is>
          <t>Medium</t>
        </is>
      </c>
    </row>
    <row r="70" ht="38" customHeight="1">
      <c r="A70" s="159" t="n">
        <v>8</v>
      </c>
      <c r="B70" s="34" t="inlineStr">
        <is>
          <t>ITC Reversal u/s 17(5) — Blocked credit not availed</t>
        </is>
      </c>
      <c r="C70" s="34" t="inlineStr">
        <is>
          <t>Review vehicle expenses, food, personal use items — confirm ITC not availed</t>
        </is>
      </c>
      <c r="D70" s="153" t="inlineStr">
        <is>
          <t>Pending ⏳</t>
        </is>
      </c>
      <c r="E70" s="34" t="inlineStr"/>
      <c r="F70" s="160" t="inlineStr">
        <is>
          <t>Medium</t>
        </is>
      </c>
    </row>
    <row r="71" ht="38" customHeight="1">
      <c r="A71" s="159" t="n">
        <v>9</v>
      </c>
      <c r="B71" s="40" t="inlineStr">
        <is>
          <t>ITC Reversal — Rule 42/43 — Credit on common inputs</t>
        </is>
      </c>
      <c r="C71" s="40" t="inlineStr">
        <is>
          <t>Compute annual Rule 42 reversal; compare with provisional monthly reversals</t>
        </is>
      </c>
      <c r="D71" s="153" t="inlineStr">
        <is>
          <t>Pending ⏳</t>
        </is>
      </c>
      <c r="E71" s="34" t="inlineStr"/>
      <c r="F71" s="160" t="inlineStr">
        <is>
          <t>Medium</t>
        </is>
      </c>
    </row>
    <row r="72" ht="38" customHeight="1">
      <c r="A72" s="159" t="n">
        <v>10</v>
      </c>
      <c r="B72" s="34" t="inlineStr">
        <is>
          <t>ITC Reversal — Rule 37 — Non-payment to vendor within 180 days</t>
        </is>
      </c>
      <c r="C72" s="34" t="inlineStr">
        <is>
          <t>Age the creditors; identify invoices &gt;180 days unpaid; compute ITC reversal</t>
        </is>
      </c>
      <c r="D72" s="153" t="inlineStr">
        <is>
          <t>Pending ⏳</t>
        </is>
      </c>
      <c r="E72" s="34" t="inlineStr"/>
      <c r="F72" s="160" t="inlineStr">
        <is>
          <t>Medium</t>
        </is>
      </c>
    </row>
    <row r="73" ht="38" customHeight="1">
      <c r="A73" s="159" t="n">
        <v>11</v>
      </c>
      <c r="B73" s="40" t="inlineStr">
        <is>
          <t>Annual Return GSTR-9 — All tables verified and consistent with GSTR-1/3B</t>
        </is>
      </c>
      <c r="C73" s="40" t="inlineStr">
        <is>
          <t>Table-by-table verification of GSTR-9 with monthly returns</t>
        </is>
      </c>
      <c r="D73" s="153" t="inlineStr">
        <is>
          <t>Pending ⏳</t>
        </is>
      </c>
      <c r="E73" s="34" t="inlineStr"/>
      <c r="F73" s="160" t="inlineStr">
        <is>
          <t>Medium</t>
        </is>
      </c>
    </row>
    <row r="74" ht="38" customHeight="1">
      <c r="A74" s="159" t="n">
        <v>12</v>
      </c>
      <c r="B74" s="34" t="inlineStr">
        <is>
          <t>Previous year ITC / Liability adjustments reflected in GSTR-9</t>
        </is>
      </c>
      <c r="C74" s="34" t="inlineStr">
        <is>
          <t>Table 10/11 of GSTR-9 — additional liability / ITC claimed from prior year</t>
        </is>
      </c>
      <c r="D74" s="153" t="inlineStr">
        <is>
          <t>Pending ⏳</t>
        </is>
      </c>
      <c r="E74" s="34" t="inlineStr"/>
      <c r="F74" s="160" t="inlineStr">
        <is>
          <t>Medium</t>
        </is>
      </c>
    </row>
    <row r="75" ht="38" customHeight="1">
      <c r="A75" s="159" t="n">
        <v>13</v>
      </c>
      <c r="B75" s="40" t="inlineStr">
        <is>
          <t>GST on Advances — Received but not invoiced — tax paid?</t>
        </is>
      </c>
      <c r="C75" s="40" t="inlineStr">
        <is>
          <t>Review advance register; match with GSTR-3B liability declarations</t>
        </is>
      </c>
      <c r="D75" s="153" t="inlineStr">
        <is>
          <t>Pending ⏳</t>
        </is>
      </c>
      <c r="E75" s="34" t="inlineStr"/>
      <c r="F75" s="160" t="inlineStr">
        <is>
          <t>Medium</t>
        </is>
      </c>
    </row>
    <row r="76" ht="38" customHeight="1">
      <c r="A76" s="159" t="n">
        <v>14</v>
      </c>
      <c r="B76" s="34" t="inlineStr">
        <is>
          <t>GST Demand / Notices — All adjudication orders / pending notices listed</t>
        </is>
      </c>
      <c r="C76" s="34" t="inlineStr">
        <is>
          <t>Obtain list from management; verify demand register; check appeals filed</t>
        </is>
      </c>
      <c r="D76" s="153" t="inlineStr">
        <is>
          <t>Pending ⏳</t>
        </is>
      </c>
      <c r="E76" s="34" t="inlineStr"/>
      <c r="F76" s="160" t="inlineStr">
        <is>
          <t>Medium</t>
        </is>
      </c>
    </row>
    <row r="77" ht="38" customHeight="1">
      <c r="A77" s="159" t="n">
        <v>15</v>
      </c>
      <c r="B77" s="40" t="inlineStr">
        <is>
          <t>Interest on late payment / late filing computed and paid</t>
        </is>
      </c>
      <c r="C77" s="40" t="inlineStr">
        <is>
          <t>Check filing dates of GSTR-3B; compute interest @18% p.a. on late taxes</t>
        </is>
      </c>
      <c r="D77" s="153" t="inlineStr">
        <is>
          <t>Pending ⏳</t>
        </is>
      </c>
      <c r="E77" s="34" t="inlineStr"/>
      <c r="F77" s="160" t="inlineStr">
        <is>
          <t>Medium</t>
        </is>
      </c>
    </row>
    <row r="78" ht="38" customHeight="1">
      <c r="A78" s="159" t="n">
        <v>16</v>
      </c>
      <c r="B78" s="34" t="inlineStr">
        <is>
          <t>Reconcile GSTR-9 with Income Tax Return — Turnover figures consistent</t>
        </is>
      </c>
      <c r="C78" s="34" t="inlineStr">
        <is>
          <t>Compare turnover in GSTR-9 with ITR-6 total revenue; explain material differences</t>
        </is>
      </c>
      <c r="D78" s="153" t="inlineStr">
        <is>
          <t>Pending ⏳</t>
        </is>
      </c>
      <c r="E78" s="34" t="inlineStr"/>
      <c r="F78" s="160" t="inlineStr">
        <is>
          <t>Medium</t>
        </is>
      </c>
    </row>
    <row r="79" ht="38" customHeight="1">
      <c r="A79" s="159" t="n">
        <v>17</v>
      </c>
      <c r="B79" s="40" t="inlineStr">
        <is>
          <t>HSN Summary — GSTR-9 Table 17/18 verified with outward and inward register</t>
        </is>
      </c>
      <c r="C79" s="40" t="inlineStr">
        <is>
          <t>Download GSTR-1 HSN summary; match with books classification</t>
        </is>
      </c>
      <c r="D79" s="153" t="inlineStr">
        <is>
          <t>Pending ⏳</t>
        </is>
      </c>
      <c r="E79" s="34" t="inlineStr"/>
      <c r="F79" s="160" t="inlineStr">
        <is>
          <t>Medium</t>
        </is>
      </c>
    </row>
    <row r="80" ht="38" customHeight="1">
      <c r="A80" s="159" t="n">
        <v>18</v>
      </c>
      <c r="B80" s="34" t="inlineStr">
        <is>
          <t>Annual GSTR-9C — Auditor Certificate (Part A and Part B) completed</t>
        </is>
      </c>
      <c r="C80" s="34" t="inlineStr">
        <is>
          <t>Fill GSTR-9C Part A (reconciliation) and Part B (certification) after review</t>
        </is>
      </c>
      <c r="D80" s="153" t="inlineStr">
        <is>
          <t>Pending ⏳</t>
        </is>
      </c>
      <c r="E80" s="34" t="inlineStr"/>
      <c r="F80" s="160" t="inlineStr">
        <is>
          <t>Medium</t>
        </is>
      </c>
    </row>
  </sheetData>
  <mergeCells count="33">
    <mergeCell ref="B9:E9"/>
    <mergeCell ref="F11:J11"/>
    <mergeCell ref="B6:E6"/>
    <mergeCell ref="F10:J10"/>
    <mergeCell ref="F16:J16"/>
    <mergeCell ref="B15:E15"/>
    <mergeCell ref="A35:J35"/>
    <mergeCell ref="A4:J4"/>
    <mergeCell ref="B5:E5"/>
    <mergeCell ref="F6:J6"/>
    <mergeCell ref="A19:J19"/>
    <mergeCell ref="F7:J7"/>
    <mergeCell ref="F15:J15"/>
    <mergeCell ref="F12:J12"/>
    <mergeCell ref="B16:E16"/>
    <mergeCell ref="F5:J5"/>
    <mergeCell ref="B7:E7"/>
    <mergeCell ref="A48:J48"/>
    <mergeCell ref="F8:J8"/>
    <mergeCell ref="F17:J17"/>
    <mergeCell ref="A1:J1"/>
    <mergeCell ref="A61:J61"/>
    <mergeCell ref="B12:E12"/>
    <mergeCell ref="B11:E11"/>
    <mergeCell ref="F13:J13"/>
    <mergeCell ref="B14:E14"/>
    <mergeCell ref="F9:J9"/>
    <mergeCell ref="B17:E17"/>
    <mergeCell ref="B8:E8"/>
    <mergeCell ref="F14:J14"/>
    <mergeCell ref="B13:E13"/>
    <mergeCell ref="A2:J2"/>
    <mergeCell ref="B10:E10"/>
  </mergeCells>
  <dataValidations count="2">
    <dataValidation sqref="F5:F200" showDropDown="0" showInputMessage="0" showErrorMessage="0" allowBlank="1" type="list">
      <formula1>"Done ✅,In Progress 🔄,Pending ⏳,N/A ➖,Issue Found ⚠️"</formula1>
    </dataValidation>
    <dataValidation sqref="G50:G200" showDropDown="0" showInputMessage="0" showErrorMessage="0" allowBlank="1" type="list">
      <formula1>"High,Medium,Low"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6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4" customWidth="1" min="2" max="2"/>
    <col width="22" customWidth="1" min="3" max="3"/>
    <col width="13" customWidth="1" min="4" max="4"/>
    <col width="18" customWidth="1" min="5" max="5"/>
    <col width="35" customWidth="1" min="6" max="6"/>
    <col width="14" customWidth="1" min="7" max="7"/>
    <col width="14" customWidth="1" min="8" max="8"/>
    <col width="22" customWidth="1" min="9" max="9"/>
    <col width="14" customWidth="1" min="10" max="10"/>
    <col width="25" customWidth="1" min="11" max="11"/>
    <col width="28" customWidth="1" min="12" max="12"/>
  </cols>
  <sheetData>
    <row r="1">
      <c r="A1" s="76" t="inlineStr">
        <is>
          <t>INCOME TAX SCRUTINY &amp; ASSESSMENT NOTICE TRACKER  |  FY 2025-26 &amp; PRIOR YEARS</t>
        </is>
      </c>
    </row>
    <row r="2">
      <c r="A2" s="77" t="inlineStr">
        <is>
          <t>Track all notices, demands, appeals and assessments. Update status after every development.</t>
        </is>
      </c>
    </row>
    <row r="4">
      <c r="A4" s="2" t="inlineStr">
        <is>
          <t>PART A — NOTICE / DEMAND / ASSESSMENT LOG</t>
        </is>
      </c>
    </row>
    <row r="5">
      <c r="A5" s="161" t="inlineStr">
        <is>
          <t>Ref No.</t>
        </is>
      </c>
      <c r="B5" s="161" t="inlineStr">
        <is>
          <t>Assessment Year</t>
        </is>
      </c>
      <c r="C5" s="161" t="inlineStr">
        <is>
          <t>Notice / Section</t>
        </is>
      </c>
      <c r="D5" s="161" t="inlineStr">
        <is>
          <t>Date of Notice</t>
        </is>
      </c>
      <c r="E5" s="161" t="inlineStr">
        <is>
          <t>Demand / Query Amount (₹)</t>
        </is>
      </c>
      <c r="F5" s="161" t="inlineStr">
        <is>
          <t>Issue / Subject</t>
        </is>
      </c>
      <c r="G5" s="161" t="inlineStr">
        <is>
          <t>Date of Reply / Response</t>
        </is>
      </c>
      <c r="H5" s="161" t="inlineStr">
        <is>
          <t>Response Filed By</t>
        </is>
      </c>
      <c r="I5" s="161" t="inlineStr">
        <is>
          <t>Current Stage</t>
        </is>
      </c>
      <c r="J5" s="161" t="inlineStr">
        <is>
          <t>Next Hearing Date</t>
        </is>
      </c>
      <c r="K5" s="161" t="inlineStr">
        <is>
          <t>Adjournment / Order Status</t>
        </is>
      </c>
      <c r="L5" s="161" t="inlineStr">
        <is>
          <t>Remarks</t>
        </is>
      </c>
    </row>
    <row r="6" ht="28" customHeight="1">
      <c r="A6" s="162" t="inlineStr">
        <is>
          <t>NOT-001</t>
        </is>
      </c>
      <c r="B6" s="156" t="inlineStr"/>
      <c r="C6" s="156" t="inlineStr"/>
      <c r="D6" s="156" t="inlineStr"/>
      <c r="E6" s="154" t="n">
        <v>0</v>
      </c>
      <c r="F6" s="40" t="inlineStr"/>
      <c r="G6" s="156" t="inlineStr"/>
      <c r="H6" s="156" t="inlineStr"/>
      <c r="I6" s="163" t="inlineStr">
        <is>
          <t>Notice Received</t>
        </is>
      </c>
      <c r="J6" s="164" t="inlineStr"/>
      <c r="K6" s="40" t="inlineStr"/>
      <c r="L6" s="40" t="inlineStr"/>
    </row>
    <row r="7" ht="28" customHeight="1">
      <c r="A7" s="162" t="inlineStr">
        <is>
          <t>NOT-002</t>
        </is>
      </c>
      <c r="B7" s="165" t="inlineStr"/>
      <c r="C7" s="165" t="inlineStr"/>
      <c r="D7" s="165" t="inlineStr"/>
      <c r="E7" s="154" t="n">
        <v>0</v>
      </c>
      <c r="F7" s="34" t="inlineStr"/>
      <c r="G7" s="165" t="inlineStr"/>
      <c r="H7" s="165" t="inlineStr"/>
      <c r="I7" s="163" t="inlineStr">
        <is>
          <t>Notice Received</t>
        </is>
      </c>
      <c r="J7" s="164" t="inlineStr"/>
      <c r="K7" s="34" t="inlineStr"/>
      <c r="L7" s="34" t="inlineStr"/>
    </row>
    <row r="8" ht="28" customHeight="1">
      <c r="A8" s="162" t="inlineStr">
        <is>
          <t>NOT-003</t>
        </is>
      </c>
      <c r="B8" s="156" t="inlineStr"/>
      <c r="C8" s="156" t="inlineStr"/>
      <c r="D8" s="156" t="inlineStr"/>
      <c r="E8" s="154" t="n">
        <v>0</v>
      </c>
      <c r="F8" s="40" t="inlineStr"/>
      <c r="G8" s="156" t="inlineStr"/>
      <c r="H8" s="156" t="inlineStr"/>
      <c r="I8" s="163" t="inlineStr">
        <is>
          <t>Notice Received</t>
        </is>
      </c>
      <c r="J8" s="164" t="inlineStr"/>
      <c r="K8" s="40" t="inlineStr"/>
      <c r="L8" s="40" t="inlineStr"/>
    </row>
    <row r="9" ht="28" customHeight="1">
      <c r="A9" s="162" t="inlineStr">
        <is>
          <t>NOT-004</t>
        </is>
      </c>
      <c r="B9" s="165" t="inlineStr"/>
      <c r="C9" s="165" t="inlineStr"/>
      <c r="D9" s="165" t="inlineStr"/>
      <c r="E9" s="154" t="n">
        <v>0</v>
      </c>
      <c r="F9" s="34" t="inlineStr"/>
      <c r="G9" s="165" t="inlineStr"/>
      <c r="H9" s="165" t="inlineStr"/>
      <c r="I9" s="163" t="inlineStr">
        <is>
          <t>Notice Received</t>
        </is>
      </c>
      <c r="J9" s="164" t="inlineStr"/>
      <c r="K9" s="34" t="inlineStr"/>
      <c r="L9" s="34" t="inlineStr"/>
    </row>
    <row r="10" ht="28" customHeight="1">
      <c r="A10" s="162" t="inlineStr">
        <is>
          <t>NOT-005</t>
        </is>
      </c>
      <c r="B10" s="156" t="inlineStr"/>
      <c r="C10" s="156" t="inlineStr"/>
      <c r="D10" s="156" t="inlineStr"/>
      <c r="E10" s="154" t="n">
        <v>0</v>
      </c>
      <c r="F10" s="40" t="inlineStr"/>
      <c r="G10" s="156" t="inlineStr"/>
      <c r="H10" s="156" t="inlineStr"/>
      <c r="I10" s="163" t="inlineStr">
        <is>
          <t>Notice Received</t>
        </is>
      </c>
      <c r="J10" s="164" t="inlineStr"/>
      <c r="K10" s="40" t="inlineStr"/>
      <c r="L10" s="40" t="inlineStr"/>
    </row>
    <row r="11" ht="28" customHeight="1">
      <c r="A11" s="162" t="inlineStr">
        <is>
          <t>NOT-006</t>
        </is>
      </c>
      <c r="B11" s="165" t="inlineStr"/>
      <c r="C11" s="165" t="inlineStr"/>
      <c r="D11" s="165" t="inlineStr"/>
      <c r="E11" s="154" t="n">
        <v>0</v>
      </c>
      <c r="F11" s="34" t="inlineStr"/>
      <c r="G11" s="165" t="inlineStr"/>
      <c r="H11" s="165" t="inlineStr"/>
      <c r="I11" s="163" t="inlineStr">
        <is>
          <t>Notice Received</t>
        </is>
      </c>
      <c r="J11" s="164" t="inlineStr"/>
      <c r="K11" s="34" t="inlineStr"/>
      <c r="L11" s="34" t="inlineStr"/>
    </row>
    <row r="12" ht="28" customHeight="1">
      <c r="A12" s="162" t="inlineStr">
        <is>
          <t>NOT-007</t>
        </is>
      </c>
      <c r="B12" s="156" t="inlineStr"/>
      <c r="C12" s="156" t="inlineStr"/>
      <c r="D12" s="156" t="inlineStr"/>
      <c r="E12" s="154" t="n">
        <v>0</v>
      </c>
      <c r="F12" s="40" t="inlineStr"/>
      <c r="G12" s="156" t="inlineStr"/>
      <c r="H12" s="156" t="inlineStr"/>
      <c r="I12" s="163" t="inlineStr">
        <is>
          <t>Notice Received</t>
        </is>
      </c>
      <c r="J12" s="164" t="inlineStr"/>
      <c r="K12" s="40" t="inlineStr"/>
      <c r="L12" s="40" t="inlineStr"/>
    </row>
    <row r="13" ht="28" customHeight="1">
      <c r="A13" s="162" t="inlineStr">
        <is>
          <t>NOT-008</t>
        </is>
      </c>
      <c r="B13" s="165" t="inlineStr"/>
      <c r="C13" s="165" t="inlineStr"/>
      <c r="D13" s="165" t="inlineStr"/>
      <c r="E13" s="154" t="n">
        <v>0</v>
      </c>
      <c r="F13" s="34" t="inlineStr"/>
      <c r="G13" s="165" t="inlineStr"/>
      <c r="H13" s="165" t="inlineStr"/>
      <c r="I13" s="163" t="inlineStr">
        <is>
          <t>Notice Received</t>
        </is>
      </c>
      <c r="J13" s="164" t="inlineStr"/>
      <c r="K13" s="34" t="inlineStr"/>
      <c r="L13" s="34" t="inlineStr"/>
    </row>
    <row r="14" ht="28" customHeight="1">
      <c r="A14" s="162" t="inlineStr">
        <is>
          <t>NOT-009</t>
        </is>
      </c>
      <c r="B14" s="156" t="inlineStr"/>
      <c r="C14" s="156" t="inlineStr"/>
      <c r="D14" s="156" t="inlineStr"/>
      <c r="E14" s="154" t="n">
        <v>0</v>
      </c>
      <c r="F14" s="40" t="inlineStr"/>
      <c r="G14" s="156" t="inlineStr"/>
      <c r="H14" s="156" t="inlineStr"/>
      <c r="I14" s="163" t="inlineStr">
        <is>
          <t>Notice Received</t>
        </is>
      </c>
      <c r="J14" s="164" t="inlineStr"/>
      <c r="K14" s="40" t="inlineStr"/>
      <c r="L14" s="40" t="inlineStr"/>
    </row>
    <row r="15" ht="28" customHeight="1">
      <c r="A15" s="162" t="inlineStr">
        <is>
          <t>NOT-010</t>
        </is>
      </c>
      <c r="B15" s="165" t="inlineStr"/>
      <c r="C15" s="165" t="inlineStr"/>
      <c r="D15" s="165" t="inlineStr"/>
      <c r="E15" s="154" t="n">
        <v>0</v>
      </c>
      <c r="F15" s="34" t="inlineStr"/>
      <c r="G15" s="165" t="inlineStr"/>
      <c r="H15" s="165" t="inlineStr"/>
      <c r="I15" s="163" t="inlineStr">
        <is>
          <t>Notice Received</t>
        </is>
      </c>
      <c r="J15" s="164" t="inlineStr"/>
      <c r="K15" s="34" t="inlineStr"/>
      <c r="L15" s="34" t="inlineStr"/>
    </row>
    <row r="16" ht="28" customHeight="1">
      <c r="A16" s="162" t="inlineStr">
        <is>
          <t>NOT-011</t>
        </is>
      </c>
      <c r="B16" s="156" t="inlineStr"/>
      <c r="C16" s="156" t="inlineStr"/>
      <c r="D16" s="156" t="inlineStr"/>
      <c r="E16" s="154" t="n">
        <v>0</v>
      </c>
      <c r="F16" s="40" t="inlineStr"/>
      <c r="G16" s="156" t="inlineStr"/>
      <c r="H16" s="156" t="inlineStr"/>
      <c r="I16" s="163" t="inlineStr">
        <is>
          <t>Notice Received</t>
        </is>
      </c>
      <c r="J16" s="164" t="inlineStr"/>
      <c r="K16" s="40" t="inlineStr"/>
      <c r="L16" s="40" t="inlineStr"/>
    </row>
    <row r="17" ht="28" customHeight="1">
      <c r="A17" s="162" t="inlineStr">
        <is>
          <t>NOT-012</t>
        </is>
      </c>
      <c r="B17" s="165" t="inlineStr"/>
      <c r="C17" s="165" t="inlineStr"/>
      <c r="D17" s="165" t="inlineStr"/>
      <c r="E17" s="154" t="n">
        <v>0</v>
      </c>
      <c r="F17" s="34" t="inlineStr"/>
      <c r="G17" s="165" t="inlineStr"/>
      <c r="H17" s="165" t="inlineStr"/>
      <c r="I17" s="163" t="inlineStr">
        <is>
          <t>Notice Received</t>
        </is>
      </c>
      <c r="J17" s="164" t="inlineStr"/>
      <c r="K17" s="34" t="inlineStr"/>
      <c r="L17" s="34" t="inlineStr"/>
    </row>
    <row r="18" ht="28" customHeight="1">
      <c r="A18" s="162" t="inlineStr">
        <is>
          <t>NOT-013</t>
        </is>
      </c>
      <c r="B18" s="156" t="inlineStr"/>
      <c r="C18" s="156" t="inlineStr"/>
      <c r="D18" s="156" t="inlineStr"/>
      <c r="E18" s="154" t="n">
        <v>0</v>
      </c>
      <c r="F18" s="40" t="inlineStr"/>
      <c r="G18" s="156" t="inlineStr"/>
      <c r="H18" s="156" t="inlineStr"/>
      <c r="I18" s="163" t="inlineStr">
        <is>
          <t>Notice Received</t>
        </is>
      </c>
      <c r="J18" s="164" t="inlineStr"/>
      <c r="K18" s="40" t="inlineStr"/>
      <c r="L18" s="40" t="inlineStr"/>
    </row>
    <row r="19" ht="28" customHeight="1">
      <c r="A19" s="162" t="inlineStr">
        <is>
          <t>NOT-014</t>
        </is>
      </c>
      <c r="B19" s="165" t="inlineStr"/>
      <c r="C19" s="165" t="inlineStr"/>
      <c r="D19" s="165" t="inlineStr"/>
      <c r="E19" s="154" t="n">
        <v>0</v>
      </c>
      <c r="F19" s="34" t="inlineStr"/>
      <c r="G19" s="165" t="inlineStr"/>
      <c r="H19" s="165" t="inlineStr"/>
      <c r="I19" s="163" t="inlineStr">
        <is>
          <t>Notice Received</t>
        </is>
      </c>
      <c r="J19" s="164" t="inlineStr"/>
      <c r="K19" s="34" t="inlineStr"/>
      <c r="L19" s="34" t="inlineStr"/>
    </row>
    <row r="20" ht="28" customHeight="1">
      <c r="A20" s="162" t="inlineStr">
        <is>
          <t>NOT-015</t>
        </is>
      </c>
      <c r="B20" s="156" t="inlineStr"/>
      <c r="C20" s="156" t="inlineStr"/>
      <c r="D20" s="156" t="inlineStr"/>
      <c r="E20" s="154" t="n">
        <v>0</v>
      </c>
      <c r="F20" s="40" t="inlineStr"/>
      <c r="G20" s="156" t="inlineStr"/>
      <c r="H20" s="156" t="inlineStr"/>
      <c r="I20" s="163" t="inlineStr">
        <is>
          <t>Notice Received</t>
        </is>
      </c>
      <c r="J20" s="164" t="inlineStr"/>
      <c r="K20" s="40" t="inlineStr"/>
      <c r="L20" s="40" t="inlineStr"/>
    </row>
    <row r="21" ht="28" customHeight="1">
      <c r="A21" s="162" t="inlineStr">
        <is>
          <t>NOT-016</t>
        </is>
      </c>
      <c r="B21" s="165" t="inlineStr"/>
      <c r="C21" s="165" t="inlineStr"/>
      <c r="D21" s="165" t="inlineStr"/>
      <c r="E21" s="154" t="n">
        <v>0</v>
      </c>
      <c r="F21" s="34" t="inlineStr"/>
      <c r="G21" s="165" t="inlineStr"/>
      <c r="H21" s="165" t="inlineStr"/>
      <c r="I21" s="163" t="inlineStr">
        <is>
          <t>Notice Received</t>
        </is>
      </c>
      <c r="J21" s="164" t="inlineStr"/>
      <c r="K21" s="34" t="inlineStr"/>
      <c r="L21" s="34" t="inlineStr"/>
    </row>
    <row r="22" ht="28" customHeight="1">
      <c r="A22" s="162" t="inlineStr">
        <is>
          <t>NOT-017</t>
        </is>
      </c>
      <c r="B22" s="156" t="inlineStr"/>
      <c r="C22" s="156" t="inlineStr"/>
      <c r="D22" s="156" t="inlineStr"/>
      <c r="E22" s="154" t="n">
        <v>0</v>
      </c>
      <c r="F22" s="40" t="inlineStr"/>
      <c r="G22" s="156" t="inlineStr"/>
      <c r="H22" s="156" t="inlineStr"/>
      <c r="I22" s="163" t="inlineStr">
        <is>
          <t>Notice Received</t>
        </is>
      </c>
      <c r="J22" s="164" t="inlineStr"/>
      <c r="K22" s="40" t="inlineStr"/>
      <c r="L22" s="40" t="inlineStr"/>
    </row>
    <row r="23" ht="28" customHeight="1">
      <c r="A23" s="162" t="inlineStr">
        <is>
          <t>NOT-018</t>
        </is>
      </c>
      <c r="B23" s="165" t="inlineStr"/>
      <c r="C23" s="165" t="inlineStr"/>
      <c r="D23" s="165" t="inlineStr"/>
      <c r="E23" s="154" t="n">
        <v>0</v>
      </c>
      <c r="F23" s="34" t="inlineStr"/>
      <c r="G23" s="165" t="inlineStr"/>
      <c r="H23" s="165" t="inlineStr"/>
      <c r="I23" s="163" t="inlineStr">
        <is>
          <t>Notice Received</t>
        </is>
      </c>
      <c r="J23" s="164" t="inlineStr"/>
      <c r="K23" s="34" t="inlineStr"/>
      <c r="L23" s="34" t="inlineStr"/>
    </row>
    <row r="24" ht="28" customHeight="1">
      <c r="A24" s="162" t="inlineStr">
        <is>
          <t>NOT-019</t>
        </is>
      </c>
      <c r="B24" s="156" t="inlineStr"/>
      <c r="C24" s="156" t="inlineStr"/>
      <c r="D24" s="156" t="inlineStr"/>
      <c r="E24" s="154" t="n">
        <v>0</v>
      </c>
      <c r="F24" s="40" t="inlineStr"/>
      <c r="G24" s="156" t="inlineStr"/>
      <c r="H24" s="156" t="inlineStr"/>
      <c r="I24" s="163" t="inlineStr">
        <is>
          <t>Notice Received</t>
        </is>
      </c>
      <c r="J24" s="164" t="inlineStr"/>
      <c r="K24" s="40" t="inlineStr"/>
      <c r="L24" s="40" t="inlineStr"/>
    </row>
    <row r="25" ht="28" customHeight="1">
      <c r="A25" s="162" t="inlineStr">
        <is>
          <t>NOT-020</t>
        </is>
      </c>
      <c r="B25" s="165" t="inlineStr"/>
      <c r="C25" s="165" t="inlineStr"/>
      <c r="D25" s="165" t="inlineStr"/>
      <c r="E25" s="154" t="n">
        <v>0</v>
      </c>
      <c r="F25" s="34" t="inlineStr"/>
      <c r="G25" s="165" t="inlineStr"/>
      <c r="H25" s="165" t="inlineStr"/>
      <c r="I25" s="163" t="inlineStr">
        <is>
          <t>Notice Received</t>
        </is>
      </c>
      <c r="J25" s="164" t="inlineStr"/>
      <c r="K25" s="34" t="inlineStr"/>
      <c r="L25" s="34" t="inlineStr"/>
    </row>
    <row r="26" ht="28" customHeight="1">
      <c r="A26" s="162" t="inlineStr">
        <is>
          <t>NOT-021</t>
        </is>
      </c>
      <c r="B26" s="156" t="inlineStr"/>
      <c r="C26" s="156" t="inlineStr"/>
      <c r="D26" s="156" t="inlineStr"/>
      <c r="E26" s="154" t="n">
        <v>0</v>
      </c>
      <c r="F26" s="40" t="inlineStr"/>
      <c r="G26" s="156" t="inlineStr"/>
      <c r="H26" s="156" t="inlineStr"/>
      <c r="I26" s="163" t="inlineStr">
        <is>
          <t>Notice Received</t>
        </is>
      </c>
      <c r="J26" s="164" t="inlineStr"/>
      <c r="K26" s="40" t="inlineStr"/>
      <c r="L26" s="40" t="inlineStr"/>
    </row>
    <row r="27" ht="28" customHeight="1">
      <c r="A27" s="162" t="inlineStr">
        <is>
          <t>NOT-022</t>
        </is>
      </c>
      <c r="B27" s="165" t="inlineStr"/>
      <c r="C27" s="165" t="inlineStr"/>
      <c r="D27" s="165" t="inlineStr"/>
      <c r="E27" s="154" t="n">
        <v>0</v>
      </c>
      <c r="F27" s="34" t="inlineStr"/>
      <c r="G27" s="165" t="inlineStr"/>
      <c r="H27" s="165" t="inlineStr"/>
      <c r="I27" s="163" t="inlineStr">
        <is>
          <t>Notice Received</t>
        </is>
      </c>
      <c r="J27" s="164" t="inlineStr"/>
      <c r="K27" s="34" t="inlineStr"/>
      <c r="L27" s="34" t="inlineStr"/>
    </row>
    <row r="28" ht="28" customHeight="1">
      <c r="A28" s="162" t="inlineStr">
        <is>
          <t>NOT-023</t>
        </is>
      </c>
      <c r="B28" s="156" t="inlineStr"/>
      <c r="C28" s="156" t="inlineStr"/>
      <c r="D28" s="156" t="inlineStr"/>
      <c r="E28" s="154" t="n">
        <v>0</v>
      </c>
      <c r="F28" s="40" t="inlineStr"/>
      <c r="G28" s="156" t="inlineStr"/>
      <c r="H28" s="156" t="inlineStr"/>
      <c r="I28" s="163" t="inlineStr">
        <is>
          <t>Notice Received</t>
        </is>
      </c>
      <c r="J28" s="164" t="inlineStr"/>
      <c r="K28" s="40" t="inlineStr"/>
      <c r="L28" s="40" t="inlineStr"/>
    </row>
    <row r="29" ht="28" customHeight="1">
      <c r="A29" s="162" t="inlineStr">
        <is>
          <t>NOT-024</t>
        </is>
      </c>
      <c r="B29" s="165" t="inlineStr"/>
      <c r="C29" s="165" t="inlineStr"/>
      <c r="D29" s="165" t="inlineStr"/>
      <c r="E29" s="154" t="n">
        <v>0</v>
      </c>
      <c r="F29" s="34" t="inlineStr"/>
      <c r="G29" s="165" t="inlineStr"/>
      <c r="H29" s="165" t="inlineStr"/>
      <c r="I29" s="163" t="inlineStr">
        <is>
          <t>Notice Received</t>
        </is>
      </c>
      <c r="J29" s="164" t="inlineStr"/>
      <c r="K29" s="34" t="inlineStr"/>
      <c r="L29" s="34" t="inlineStr"/>
    </row>
    <row r="30" ht="28" customHeight="1">
      <c r="A30" s="162" t="inlineStr">
        <is>
          <t>NOT-025</t>
        </is>
      </c>
      <c r="B30" s="156" t="inlineStr"/>
      <c r="C30" s="156" t="inlineStr"/>
      <c r="D30" s="156" t="inlineStr"/>
      <c r="E30" s="154" t="n">
        <v>0</v>
      </c>
      <c r="F30" s="40" t="inlineStr"/>
      <c r="G30" s="156" t="inlineStr"/>
      <c r="H30" s="156" t="inlineStr"/>
      <c r="I30" s="163" t="inlineStr">
        <is>
          <t>Notice Received</t>
        </is>
      </c>
      <c r="J30" s="164" t="inlineStr"/>
      <c r="K30" s="40" t="inlineStr"/>
      <c r="L30" s="40" t="inlineStr"/>
    </row>
    <row r="33">
      <c r="A33" s="2" t="inlineStr">
        <is>
          <t>PART B — SECTION-WISE COMPLIANCE PROCEDURES &amp; TIME LIMITS</t>
        </is>
      </c>
    </row>
    <row r="34">
      <c r="A34" s="161" t="inlineStr">
        <is>
          <t>Section</t>
        </is>
      </c>
      <c r="B34" s="161" t="inlineStr">
        <is>
          <t>Nature of Notice / Proceeding</t>
        </is>
      </c>
      <c r="C34" s="161" t="inlineStr">
        <is>
          <t>Time Limit for Reply</t>
        </is>
      </c>
      <c r="D34" s="161" t="inlineStr">
        <is>
          <t>Key Actions Required</t>
        </is>
      </c>
      <c r="E34" s="161" t="inlineStr">
        <is>
          <t>Documents to Prepare</t>
        </is>
      </c>
      <c r="F34" s="161" t="inlineStr">
        <is>
          <t>Status for Client</t>
        </is>
      </c>
      <c r="G34" s="161" t="inlineStr">
        <is>
          <t>Remarks</t>
        </is>
      </c>
    </row>
    <row r="35" ht="50" customHeight="1">
      <c r="A35" s="162" t="inlineStr">
        <is>
          <t>Sec 143(1)</t>
        </is>
      </c>
      <c r="B35" s="83" t="inlineStr">
        <is>
          <t>Intimation — Adjustment / Refund / Demand</t>
        </is>
      </c>
      <c r="C35" s="84" t="inlineStr">
        <is>
          <t>Within 30 days from intimation date</t>
        </is>
      </c>
      <c r="D35" s="40" t="inlineStr">
        <is>
          <t>Review computation; check adjustments made by CPC; file rectification u/s 154 if wrong</t>
        </is>
      </c>
      <c r="E35" s="47" t="inlineStr">
        <is>
          <t>Return of Income, Tax Audit Report, Computation of Income</t>
        </is>
      </c>
      <c r="F35" s="153" t="inlineStr">
        <is>
          <t>Pending ⏳</t>
        </is>
      </c>
      <c r="G35" s="34" t="inlineStr"/>
    </row>
    <row r="36" ht="50" customHeight="1">
      <c r="A36" s="162" t="inlineStr">
        <is>
          <t>Sec 143(1)(a)</t>
        </is>
      </c>
      <c r="B36" s="85" t="inlineStr">
        <is>
          <t>Prima Facie Adjustments — Mismatch in ITR</t>
        </is>
      </c>
      <c r="C36" s="84" t="inlineStr">
        <is>
          <t>30 days from notice</t>
        </is>
      </c>
      <c r="D36" s="34" t="inlineStr">
        <is>
          <t>Respond to mismatch — income mismatch, deduction claim, TDS mismatch; reconcile with Form 26AS</t>
        </is>
      </c>
      <c r="E36" s="47" t="inlineStr">
        <is>
          <t>Income details, deduction proofs, Form 26AS, TDS certificates</t>
        </is>
      </c>
      <c r="F36" s="153" t="inlineStr">
        <is>
          <t>Pending ⏳</t>
        </is>
      </c>
      <c r="G36" s="34" t="inlineStr"/>
    </row>
    <row r="37" ht="50" customHeight="1">
      <c r="A37" s="162" t="inlineStr">
        <is>
          <t>Sec 143(2)</t>
        </is>
      </c>
      <c r="B37" s="83" t="inlineStr">
        <is>
          <t>Notice for Scrutiny Assessment</t>
        </is>
      </c>
      <c r="C37" s="84" t="inlineStr">
        <is>
          <t>As specified in notice (usually 15-30 days for initial reply)</t>
        </is>
      </c>
      <c r="D37" s="40" t="inlineStr">
        <is>
          <t>File reply with supporting documents; appear before AO; submit written submissions</t>
        </is>
      </c>
      <c r="E37" s="47" t="inlineStr">
        <is>
          <t>Full set of FS, Tax Audit Report, Books of Account, all expense vouchers, bank statements</t>
        </is>
      </c>
      <c r="F37" s="153" t="inlineStr">
        <is>
          <t>Pending ⏳</t>
        </is>
      </c>
      <c r="G37" s="34" t="inlineStr"/>
    </row>
    <row r="38" ht="50" customHeight="1">
      <c r="A38" s="162" t="inlineStr">
        <is>
          <t>Sec 143(3)</t>
        </is>
      </c>
      <c r="B38" s="85" t="inlineStr">
        <is>
          <t>Scrutiny Assessment Order</t>
        </is>
      </c>
      <c r="C38" s="84" t="inlineStr">
        <is>
          <t>Appeal within 30 days of order to CIT(A) / NFAC</t>
        </is>
      </c>
      <c r="D38" s="34" t="inlineStr">
        <is>
          <t>Review assessment order; compute appeal effect; file Form 35 before CIT(A)</t>
        </is>
      </c>
      <c r="E38" s="47" t="inlineStr">
        <is>
          <t>Assessment order, grounds of appeal, statement of facts, FS, supporting documents</t>
        </is>
      </c>
      <c r="F38" s="153" t="inlineStr">
        <is>
          <t>Pending ⏳</t>
        </is>
      </c>
      <c r="G38" s="34" t="inlineStr"/>
    </row>
    <row r="39" ht="50" customHeight="1">
      <c r="A39" s="162" t="inlineStr">
        <is>
          <t>Sec 144</t>
        </is>
      </c>
      <c r="B39" s="83" t="inlineStr">
        <is>
          <t>Best Judgment Assessment</t>
        </is>
      </c>
      <c r="C39" s="84" t="inlineStr">
        <is>
          <t>30 days for appeal to CIT(A)</t>
        </is>
      </c>
      <c r="D39" s="40" t="inlineStr">
        <is>
          <t>File appeal immediately; apply for stay of demand; submit explanation</t>
        </is>
      </c>
      <c r="E39" s="47" t="inlineStr">
        <is>
          <t>Explain non-compliance; submit returns/books; request condonation</t>
        </is>
      </c>
      <c r="F39" s="153" t="inlineStr">
        <is>
          <t>Pending ⏳</t>
        </is>
      </c>
      <c r="G39" s="34" t="inlineStr"/>
    </row>
    <row r="40" ht="50" customHeight="1">
      <c r="A40" s="162" t="inlineStr">
        <is>
          <t>Sec 144B</t>
        </is>
      </c>
      <c r="B40" s="85" t="inlineStr">
        <is>
          <t>Faceless Assessment</t>
        </is>
      </c>
      <c r="C40" s="84" t="inlineStr">
        <is>
          <t>As per notice — usually 15 days</t>
        </is>
      </c>
      <c r="D40" s="34" t="inlineStr">
        <is>
          <t>All responses only through faceless portal; no in-person hearing; submit documents online</t>
        </is>
      </c>
      <c r="E40" s="47" t="inlineStr">
        <is>
          <t>Upload all documents on ITBA/faceless portal; keep submission acknowledgements</t>
        </is>
      </c>
      <c r="F40" s="153" t="inlineStr">
        <is>
          <t>Pending ⏳</t>
        </is>
      </c>
      <c r="G40" s="34" t="inlineStr"/>
    </row>
    <row r="41" ht="50" customHeight="1">
      <c r="A41" s="162" t="inlineStr">
        <is>
          <t>Sec 148 / 148A</t>
        </is>
      </c>
      <c r="B41" s="83" t="inlineStr">
        <is>
          <t>Reopening of Assessment (Notice before reassessment)</t>
        </is>
      </c>
      <c r="C41" s="84" t="inlineStr">
        <is>
          <t>148A(b) reply: 7 days; 148A(d) order then 30 days for filing return</t>
        </is>
      </c>
      <c r="D41" s="40" t="inlineStr">
        <is>
          <t>Reply to 148A(b) — challenge if information is already examined; if order issued — file return u/s 148</t>
        </is>
      </c>
      <c r="E41" s="47" t="inlineStr">
        <is>
          <t>Prior assessment orders, original ITR, material provided earlier, legal submissions</t>
        </is>
      </c>
      <c r="F41" s="153" t="inlineStr">
        <is>
          <t>Pending ⏳</t>
        </is>
      </c>
      <c r="G41" s="34" t="inlineStr"/>
    </row>
    <row r="42" ht="50" customHeight="1">
      <c r="A42" s="162" t="inlineStr">
        <is>
          <t>Sec 156</t>
        </is>
      </c>
      <c r="B42" s="85" t="inlineStr">
        <is>
          <t>Notice of Demand</t>
        </is>
      </c>
      <c r="C42" s="84" t="inlineStr">
        <is>
          <t>30 days to pay / appeal</t>
        </is>
      </c>
      <c r="D42" s="34" t="inlineStr">
        <is>
          <t>Either pay demand with interest or file appeal and apply for stay</t>
        </is>
      </c>
      <c r="E42" s="47" t="inlineStr">
        <is>
          <t>Assessment order, grounds of appeal, stay petition</t>
        </is>
      </c>
      <c r="F42" s="153" t="inlineStr">
        <is>
          <t>Pending ⏳</t>
        </is>
      </c>
      <c r="G42" s="34" t="inlineStr"/>
    </row>
    <row r="43" ht="50" customHeight="1">
      <c r="A43" s="162" t="inlineStr">
        <is>
          <t>Sec 245</t>
        </is>
      </c>
      <c r="B43" s="83" t="inlineStr">
        <is>
          <t>Set-Off of Refund against Demand</t>
        </is>
      </c>
      <c r="C43" s="84" t="inlineStr">
        <is>
          <t>Reply within time specified (usually 30 days)</t>
        </is>
      </c>
      <c r="D43" s="40" t="inlineStr">
        <is>
          <t>Consent or object to set-off; if objecting — file reply with reasons</t>
        </is>
      </c>
      <c r="E43" s="47" t="inlineStr">
        <is>
          <t>Refund order details, demand details, written objection</t>
        </is>
      </c>
      <c r="F43" s="153" t="inlineStr">
        <is>
          <t>Pending ⏳</t>
        </is>
      </c>
      <c r="G43" s="34" t="inlineStr"/>
    </row>
    <row r="44" ht="50" customHeight="1">
      <c r="A44" s="162" t="inlineStr">
        <is>
          <t>Sec 271(1)(c)</t>
        </is>
      </c>
      <c r="B44" s="85" t="inlineStr">
        <is>
          <t>Penalty for Concealment / Furnishing Inaccurate Particulars</t>
        </is>
      </c>
      <c r="C44" s="84" t="inlineStr">
        <is>
          <t>Reply within notice period</t>
        </is>
      </c>
      <c r="D44" s="34" t="inlineStr">
        <is>
          <t>Distinguish concealment from bonafide mistake; cite reasonable cause; rely on Sec 273B</t>
        </is>
      </c>
      <c r="E44" s="47" t="inlineStr">
        <is>
          <t>Explanation, supporting evidence that disclosure was bonafide, case laws</t>
        </is>
      </c>
      <c r="F44" s="153" t="inlineStr">
        <is>
          <t>Pending ⏳</t>
        </is>
      </c>
      <c r="G44" s="34" t="inlineStr"/>
    </row>
    <row r="45" ht="50" customHeight="1">
      <c r="A45" s="162" t="inlineStr">
        <is>
          <t>Sec 271AAB</t>
        </is>
      </c>
      <c r="B45" s="83" t="inlineStr">
        <is>
          <t>Penalty for Undisclosed Income found during Search</t>
        </is>
      </c>
      <c r="C45" s="84" t="inlineStr">
        <is>
          <t>As per show cause notice</t>
        </is>
      </c>
      <c r="D45" s="40" t="inlineStr">
        <is>
          <t>Admit and pay tax + interest + 30% penalty (lower rate) or contest</t>
        </is>
      </c>
      <c r="E45" s="47" t="inlineStr">
        <is>
          <t>Search assessment order, statement recorded u/s 132(4), supporting documents</t>
        </is>
      </c>
      <c r="F45" s="153" t="inlineStr">
        <is>
          <t>Pending ⏳</t>
        </is>
      </c>
      <c r="G45" s="34" t="inlineStr"/>
    </row>
    <row r="46" ht="50" customHeight="1">
      <c r="A46" s="162" t="inlineStr">
        <is>
          <t>CIT(A) / NFAC Appeal</t>
        </is>
      </c>
      <c r="B46" s="85" t="inlineStr">
        <is>
          <t>First Appellate Authority</t>
        </is>
      </c>
      <c r="C46" s="84" t="inlineStr">
        <is>
          <t>Within 30 days of order</t>
        </is>
      </c>
      <c r="D46" s="34" t="inlineStr">
        <is>
          <t>File Form 35 online; prepare grounds of appeal; statement of facts; condonation if delayed</t>
        </is>
      </c>
      <c r="E46" s="47" t="inlineStr">
        <is>
          <t>Grounds of appeal, statement of facts, FS, assessment order, prior case laws</t>
        </is>
      </c>
      <c r="F46" s="153" t="inlineStr">
        <is>
          <t>Pending ⏳</t>
        </is>
      </c>
      <c r="G46" s="34" t="inlineStr"/>
    </row>
    <row r="47" ht="50" customHeight="1">
      <c r="A47" s="162" t="inlineStr">
        <is>
          <t>ITAT</t>
        </is>
      </c>
      <c r="B47" s="83" t="inlineStr">
        <is>
          <t>Income Tax Appellate Tribunal</t>
        </is>
      </c>
      <c r="C47" s="84" t="inlineStr">
        <is>
          <t>Within 60 days of CIT(A) order</t>
        </is>
      </c>
      <c r="D47" s="40" t="inlineStr">
        <is>
          <t>File Form 36; prepare legal memo; appear before bench</t>
        </is>
      </c>
      <c r="E47" s="47" t="inlineStr">
        <is>
          <t>CIT(A) order, grounds of appeal, additional evidence application if needed</t>
        </is>
      </c>
      <c r="F47" s="153" t="inlineStr">
        <is>
          <t>Pending ⏳</t>
        </is>
      </c>
      <c r="G47" s="34" t="inlineStr"/>
    </row>
    <row r="48" ht="50" customHeight="1">
      <c r="A48" s="162" t="inlineStr">
        <is>
          <t>Sec 220(2) Interest</t>
        </is>
      </c>
      <c r="B48" s="85" t="inlineStr">
        <is>
          <t>Interest on Demand not paid within 30 days</t>
        </is>
      </c>
      <c r="C48" s="84" t="inlineStr">
        <is>
          <t>Pay within 30 days or obtain stay</t>
        </is>
      </c>
      <c r="D48" s="34" t="inlineStr">
        <is>
          <t>File stay application before PCIT; attach proof of hardship; part payment may help</t>
        </is>
      </c>
      <c r="E48" s="47" t="inlineStr">
        <is>
          <t>Stay application, financial hardship evidence, form of undertaking</t>
        </is>
      </c>
      <c r="F48" s="153" t="inlineStr">
        <is>
          <t>Pending ⏳</t>
        </is>
      </c>
      <c r="G48" s="34" t="inlineStr"/>
    </row>
    <row r="51">
      <c r="A51" s="2" t="inlineStr">
        <is>
          <t>PART C — DEMAND SUMMARY (All Assessment Years)</t>
        </is>
      </c>
    </row>
    <row r="52">
      <c r="A52" s="161" t="inlineStr">
        <is>
          <t>A.Y.</t>
        </is>
      </c>
      <c r="B52" s="161" t="inlineStr">
        <is>
          <t>Section</t>
        </is>
      </c>
      <c r="C52" s="161" t="inlineStr">
        <is>
          <t>Tax Demand (₹)</t>
        </is>
      </c>
      <c r="D52" s="161" t="inlineStr">
        <is>
          <t>Interest (₹)</t>
        </is>
      </c>
      <c r="E52" s="161" t="inlineStr">
        <is>
          <t>Penalty (₹)</t>
        </is>
      </c>
      <c r="F52" s="161" t="inlineStr">
        <is>
          <t>Total (₹)</t>
        </is>
      </c>
      <c r="G52" s="161" t="inlineStr">
        <is>
          <t>Amount Paid (₹)</t>
        </is>
      </c>
      <c r="H52" s="161" t="inlineStr">
        <is>
          <t>Balance (₹)</t>
        </is>
      </c>
      <c r="I52" s="161" t="inlineStr">
        <is>
          <t>Stay Obtained?</t>
        </is>
      </c>
      <c r="J52" s="161" t="inlineStr">
        <is>
          <t>Appeal Stage</t>
        </is>
      </c>
      <c r="K52" s="161" t="inlineStr">
        <is>
          <t>Probability of Success</t>
        </is>
      </c>
      <c r="L52" s="161" t="inlineStr">
        <is>
          <t>Provision in Books?</t>
        </is>
      </c>
    </row>
    <row r="53" ht="22" customHeight="1">
      <c r="A53" s="160" t="inlineStr"/>
      <c r="B53" s="156" t="inlineStr"/>
      <c r="C53" s="154" t="n">
        <v>0</v>
      </c>
      <c r="D53" s="154" t="n">
        <v>0</v>
      </c>
      <c r="E53" s="154" t="n">
        <v>0</v>
      </c>
      <c r="F53" s="151">
        <f>SUM(C53:E53)</f>
        <v/>
      </c>
      <c r="G53" s="154" t="n">
        <v>0</v>
      </c>
      <c r="H53" s="166">
        <f>F53-G53</f>
        <v/>
      </c>
      <c r="I53" s="156" t="inlineStr">
        <is>
          <t>No</t>
        </is>
      </c>
      <c r="J53" s="156" t="inlineStr"/>
      <c r="K53" s="160" t="inlineStr"/>
      <c r="L53" s="156" t="inlineStr">
        <is>
          <t>No</t>
        </is>
      </c>
    </row>
    <row r="54" ht="22" customHeight="1">
      <c r="A54" s="160" t="inlineStr"/>
      <c r="B54" s="165" t="inlineStr"/>
      <c r="C54" s="154" t="n">
        <v>0</v>
      </c>
      <c r="D54" s="154" t="n">
        <v>0</v>
      </c>
      <c r="E54" s="154" t="n">
        <v>0</v>
      </c>
      <c r="F54" s="151">
        <f>SUM(C54:E54)</f>
        <v/>
      </c>
      <c r="G54" s="154" t="n">
        <v>0</v>
      </c>
      <c r="H54" s="166">
        <f>F54-G54</f>
        <v/>
      </c>
      <c r="I54" s="165" t="inlineStr">
        <is>
          <t>No</t>
        </is>
      </c>
      <c r="J54" s="165" t="inlineStr"/>
      <c r="K54" s="160" t="inlineStr"/>
      <c r="L54" s="165" t="inlineStr">
        <is>
          <t>No</t>
        </is>
      </c>
    </row>
    <row r="55" ht="22" customHeight="1">
      <c r="A55" s="160" t="inlineStr"/>
      <c r="B55" s="156" t="inlineStr"/>
      <c r="C55" s="154" t="n">
        <v>0</v>
      </c>
      <c r="D55" s="154" t="n">
        <v>0</v>
      </c>
      <c r="E55" s="154" t="n">
        <v>0</v>
      </c>
      <c r="F55" s="151">
        <f>SUM(C55:E55)</f>
        <v/>
      </c>
      <c r="G55" s="154" t="n">
        <v>0</v>
      </c>
      <c r="H55" s="166">
        <f>F55-G55</f>
        <v/>
      </c>
      <c r="I55" s="156" t="inlineStr">
        <is>
          <t>No</t>
        </is>
      </c>
      <c r="J55" s="156" t="inlineStr"/>
      <c r="K55" s="160" t="inlineStr"/>
      <c r="L55" s="156" t="inlineStr">
        <is>
          <t>No</t>
        </is>
      </c>
    </row>
    <row r="56" ht="22" customHeight="1">
      <c r="A56" s="160" t="inlineStr"/>
      <c r="B56" s="165" t="inlineStr"/>
      <c r="C56" s="154" t="n">
        <v>0</v>
      </c>
      <c r="D56" s="154" t="n">
        <v>0</v>
      </c>
      <c r="E56" s="154" t="n">
        <v>0</v>
      </c>
      <c r="F56" s="151">
        <f>SUM(C56:E56)</f>
        <v/>
      </c>
      <c r="G56" s="154" t="n">
        <v>0</v>
      </c>
      <c r="H56" s="166">
        <f>F56-G56</f>
        <v/>
      </c>
      <c r="I56" s="165" t="inlineStr">
        <is>
          <t>No</t>
        </is>
      </c>
      <c r="J56" s="165" t="inlineStr"/>
      <c r="K56" s="160" t="inlineStr"/>
      <c r="L56" s="165" t="inlineStr">
        <is>
          <t>No</t>
        </is>
      </c>
    </row>
    <row r="57" ht="22" customHeight="1">
      <c r="A57" s="160" t="inlineStr"/>
      <c r="B57" s="156" t="inlineStr"/>
      <c r="C57" s="154" t="n">
        <v>0</v>
      </c>
      <c r="D57" s="154" t="n">
        <v>0</v>
      </c>
      <c r="E57" s="154" t="n">
        <v>0</v>
      </c>
      <c r="F57" s="151">
        <f>SUM(C57:E57)</f>
        <v/>
      </c>
      <c r="G57" s="154" t="n">
        <v>0</v>
      </c>
      <c r="H57" s="166">
        <f>F57-G57</f>
        <v/>
      </c>
      <c r="I57" s="156" t="inlineStr">
        <is>
          <t>No</t>
        </is>
      </c>
      <c r="J57" s="156" t="inlineStr"/>
      <c r="K57" s="160" t="inlineStr"/>
      <c r="L57" s="156" t="inlineStr">
        <is>
          <t>No</t>
        </is>
      </c>
    </row>
    <row r="58" ht="22" customHeight="1">
      <c r="A58" s="160" t="inlineStr"/>
      <c r="B58" s="165" t="inlineStr"/>
      <c r="C58" s="154" t="n">
        <v>0</v>
      </c>
      <c r="D58" s="154" t="n">
        <v>0</v>
      </c>
      <c r="E58" s="154" t="n">
        <v>0</v>
      </c>
      <c r="F58" s="151">
        <f>SUM(C58:E58)</f>
        <v/>
      </c>
      <c r="G58" s="154" t="n">
        <v>0</v>
      </c>
      <c r="H58" s="166">
        <f>F58-G58</f>
        <v/>
      </c>
      <c r="I58" s="165" t="inlineStr">
        <is>
          <t>No</t>
        </is>
      </c>
      <c r="J58" s="165" t="inlineStr"/>
      <c r="K58" s="160" t="inlineStr"/>
      <c r="L58" s="165" t="inlineStr">
        <is>
          <t>No</t>
        </is>
      </c>
    </row>
    <row r="59" ht="22" customHeight="1">
      <c r="A59" s="160" t="inlineStr"/>
      <c r="B59" s="156" t="inlineStr"/>
      <c r="C59" s="154" t="n">
        <v>0</v>
      </c>
      <c r="D59" s="154" t="n">
        <v>0</v>
      </c>
      <c r="E59" s="154" t="n">
        <v>0</v>
      </c>
      <c r="F59" s="151">
        <f>SUM(C59:E59)</f>
        <v/>
      </c>
      <c r="G59" s="154" t="n">
        <v>0</v>
      </c>
      <c r="H59" s="166">
        <f>F59-G59</f>
        <v/>
      </c>
      <c r="I59" s="156" t="inlineStr">
        <is>
          <t>No</t>
        </is>
      </c>
      <c r="J59" s="156" t="inlineStr"/>
      <c r="K59" s="160" t="inlineStr"/>
      <c r="L59" s="156" t="inlineStr">
        <is>
          <t>No</t>
        </is>
      </c>
    </row>
    <row r="60" ht="22" customHeight="1">
      <c r="A60" s="160" t="inlineStr"/>
      <c r="B60" s="165" t="inlineStr"/>
      <c r="C60" s="154" t="n">
        <v>0</v>
      </c>
      <c r="D60" s="154" t="n">
        <v>0</v>
      </c>
      <c r="E60" s="154" t="n">
        <v>0</v>
      </c>
      <c r="F60" s="151">
        <f>SUM(C60:E60)</f>
        <v/>
      </c>
      <c r="G60" s="154" t="n">
        <v>0</v>
      </c>
      <c r="H60" s="166">
        <f>F60-G60</f>
        <v/>
      </c>
      <c r="I60" s="165" t="inlineStr">
        <is>
          <t>No</t>
        </is>
      </c>
      <c r="J60" s="165" t="inlineStr"/>
      <c r="K60" s="160" t="inlineStr"/>
      <c r="L60" s="165" t="inlineStr">
        <is>
          <t>No</t>
        </is>
      </c>
    </row>
    <row r="61" ht="22" customHeight="1">
      <c r="A61" s="160" t="inlineStr"/>
      <c r="B61" s="156" t="inlineStr"/>
      <c r="C61" s="154" t="n">
        <v>0</v>
      </c>
      <c r="D61" s="154" t="n">
        <v>0</v>
      </c>
      <c r="E61" s="154" t="n">
        <v>0</v>
      </c>
      <c r="F61" s="151">
        <f>SUM(C61:E61)</f>
        <v/>
      </c>
      <c r="G61" s="154" t="n">
        <v>0</v>
      </c>
      <c r="H61" s="166">
        <f>F61-G61</f>
        <v/>
      </c>
      <c r="I61" s="156" t="inlineStr">
        <is>
          <t>No</t>
        </is>
      </c>
      <c r="J61" s="156" t="inlineStr"/>
      <c r="K61" s="160" t="inlineStr"/>
      <c r="L61" s="156" t="inlineStr">
        <is>
          <t>No</t>
        </is>
      </c>
    </row>
    <row r="62" ht="22" customHeight="1">
      <c r="A62" s="160" t="inlineStr"/>
      <c r="B62" s="165" t="inlineStr"/>
      <c r="C62" s="154" t="n">
        <v>0</v>
      </c>
      <c r="D62" s="154" t="n">
        <v>0</v>
      </c>
      <c r="E62" s="154" t="n">
        <v>0</v>
      </c>
      <c r="F62" s="151">
        <f>SUM(C62:E62)</f>
        <v/>
      </c>
      <c r="G62" s="154" t="n">
        <v>0</v>
      </c>
      <c r="H62" s="166">
        <f>F62-G62</f>
        <v/>
      </c>
      <c r="I62" s="165" t="inlineStr">
        <is>
          <t>No</t>
        </is>
      </c>
      <c r="J62" s="165" t="inlineStr"/>
      <c r="K62" s="160" t="inlineStr"/>
      <c r="L62" s="165" t="inlineStr">
        <is>
          <t>No</t>
        </is>
      </c>
    </row>
    <row r="63">
      <c r="A63" s="87" t="inlineStr">
        <is>
          <t>TOTAL DEMAND OUTSTANDING</t>
        </is>
      </c>
      <c r="C63" s="167">
        <f>SUM(C53:C62)</f>
        <v/>
      </c>
      <c r="D63" s="167">
        <f>SUM(D53:D62)</f>
        <v/>
      </c>
      <c r="E63" s="167">
        <f>SUM(E53:E62)</f>
        <v/>
      </c>
      <c r="F63" s="167">
        <f>SUM(F53:F62)</f>
        <v/>
      </c>
      <c r="G63" s="167">
        <f>SUM(G53:G62)</f>
        <v/>
      </c>
      <c r="H63" s="167">
        <f>SUM(H53:H62)</f>
        <v/>
      </c>
      <c r="I63" s="168" t="inlineStr"/>
      <c r="J63" s="168" t="inlineStr"/>
      <c r="K63" s="168" t="inlineStr"/>
      <c r="L63" s="168" t="inlineStr"/>
    </row>
  </sheetData>
  <mergeCells count="6">
    <mergeCell ref="A2:L2"/>
    <mergeCell ref="A33:L33"/>
    <mergeCell ref="A51:L51"/>
    <mergeCell ref="A63:B63"/>
    <mergeCell ref="A1:L1"/>
    <mergeCell ref="A4:L4"/>
  </mergeCells>
  <dataValidations count="2">
    <dataValidation sqref="C6:C31" showDropDown="0" showInputMessage="0" showErrorMessage="0" allowBlank="1" type="list">
      <formula1>"143(1),143(1)(a),143(2),143(3),144,144B,148,148A(b),148A(d),147,156,271(1)(c),271AAB,272A,245,195,201,206C,263,264,281B,80"</formula1>
    </dataValidation>
    <dataValidation sqref="I6:I31" showDropDown="0" showInputMessage="0" showErrorMessage="0" allowBlank="1" type="list">
      <formula1>"Notice Received,Reply Filed,Hearing Scheduled,Hearing Attended,Order Received — Partly Favourable,Order Received — Unfavourable,CIT(A) Appeal Filed,ITAT Appeal Filed,HC Petition Filed,SC SLP Filed,Closed — Fully Favourable,Settled,Demand Paid"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9"/>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2" customWidth="1" min="2" max="2"/>
    <col width="18" customWidth="1" min="3" max="3"/>
    <col width="18" customWidth="1" min="4" max="4"/>
    <col width="16" customWidth="1" min="5" max="5"/>
    <col width="8" customWidth="1" min="6" max="6"/>
    <col width="13" customWidth="1" min="7" max="7"/>
    <col width="10" customWidth="1" min="8" max="8"/>
    <col width="28" customWidth="1" min="9" max="9"/>
  </cols>
  <sheetData>
    <row r="1">
      <c r="A1" s="90" t="inlineStr">
        <is>
          <t>INCOME TAX DISALLOWANCES &amp; ADDITIONS COMPUTATION  |  FY 2025-26 / A.Y. 2026-27</t>
        </is>
      </c>
    </row>
    <row r="2">
      <c r="A2" s="77" t="inlineStr">
        <is>
          <t>Compute all disallowances as per IT Act for Form 3CD / ITR. Figures in ₹. Blue cells = Input.</t>
        </is>
      </c>
    </row>
    <row r="4">
      <c r="A4" s="169" t="inlineStr">
        <is>
          <t>Section</t>
        </is>
      </c>
      <c r="B4" s="169" t="inlineStr">
        <is>
          <t>Particulars</t>
        </is>
      </c>
      <c r="C4" s="169" t="inlineStr">
        <is>
          <t>Gross Amount Debited (₹)</t>
        </is>
      </c>
      <c r="D4" s="169" t="inlineStr">
        <is>
          <t>Allowable Amount (₹)</t>
        </is>
      </c>
      <c r="E4" s="169" t="inlineStr">
        <is>
          <t>Disallowance (₹)</t>
        </is>
      </c>
      <c r="F4" s="169" t="inlineStr">
        <is>
          <t>WP Ref</t>
        </is>
      </c>
      <c r="G4" s="169" t="inlineStr">
        <is>
          <t>Status</t>
        </is>
      </c>
      <c r="H4" s="169" t="inlineStr">
        <is>
          <t>Clause 3CD</t>
        </is>
      </c>
      <c r="I4" s="169" t="inlineStr">
        <is>
          <t>Remarks / Notes</t>
        </is>
      </c>
    </row>
    <row r="5">
      <c r="A5" s="31" t="inlineStr">
        <is>
          <t>A. SECTION 40(a) — AMOUNTS NOT DEDUCTIBLE</t>
        </is>
      </c>
    </row>
    <row r="6" ht="28" customHeight="1">
      <c r="A6" s="170" t="inlineStr">
        <is>
          <t>40(a)(i)</t>
        </is>
      </c>
      <c r="B6" s="34" t="inlineStr">
        <is>
          <t>Interest, Royalty, FTS paid outside India / to non-residents — TDS not deducted or not paid to govt</t>
        </is>
      </c>
      <c r="C6" s="158" t="n">
        <v>0</v>
      </c>
      <c r="D6" s="158" t="n">
        <v>0</v>
      </c>
      <c r="E6" s="171">
        <f>IF(C6-D6&gt;0,C6-D6,0)</f>
        <v/>
      </c>
      <c r="F6" s="156" t="inlineStr"/>
      <c r="G6" s="153" t="inlineStr">
        <is>
          <t>Pending ⏳</t>
        </is>
      </c>
      <c r="H6" s="172" t="inlineStr">
        <is>
          <t>Cl. 28-29</t>
        </is>
      </c>
      <c r="I6" s="95" t="inlineStr">
        <is>
          <t>TDS deducted u/s 195? Remittance to non-residents verified?</t>
        </is>
      </c>
    </row>
    <row r="7" ht="28" customHeight="1">
      <c r="A7" s="170" t="inlineStr">
        <is>
          <t>40(a)(ia)</t>
        </is>
      </c>
      <c r="B7" s="40" t="inlineStr">
        <is>
          <t>Any sum on which TDS not deducted (resident payees) — 30% disallowance</t>
        </is>
      </c>
      <c r="C7" s="158" t="n">
        <v>0</v>
      </c>
      <c r="D7" s="158" t="n">
        <v>0</v>
      </c>
      <c r="E7" s="171">
        <f>IF(C7-D7&gt;0,C7-D7,0)</f>
        <v/>
      </c>
      <c r="F7" s="156" t="inlineStr"/>
      <c r="G7" s="153" t="inlineStr">
        <is>
          <t>Pending ⏳</t>
        </is>
      </c>
      <c r="H7" s="172" t="inlineStr">
        <is>
          <t>Cl. 28-29</t>
        </is>
      </c>
      <c r="I7" s="95" t="inlineStr">
        <is>
          <t>Review all TDS-applicable payments; identify defaults; compute 30% disallowance</t>
        </is>
      </c>
    </row>
    <row r="8" ht="28" customHeight="1">
      <c r="A8" s="170" t="inlineStr">
        <is>
          <t>40(a)(ib)</t>
        </is>
      </c>
      <c r="B8" s="34" t="inlineStr">
        <is>
          <t>Equalisation Levy not deducted on digital services — payments to non-residents</t>
        </is>
      </c>
      <c r="C8" s="158" t="n">
        <v>0</v>
      </c>
      <c r="D8" s="158" t="n">
        <v>0</v>
      </c>
      <c r="E8" s="171">
        <f>IF(C8-D8&gt;0,C8-D8,0)</f>
        <v/>
      </c>
      <c r="F8" s="156" t="inlineStr"/>
      <c r="G8" s="153" t="inlineStr">
        <is>
          <t>Pending ⏳</t>
        </is>
      </c>
      <c r="H8" s="172" t="inlineStr">
        <is>
          <t>Cl. 29</t>
        </is>
      </c>
      <c r="I8" s="95" t="inlineStr">
        <is>
          <t>Check online advertising, e-commerce payments to non-resident platforms</t>
        </is>
      </c>
    </row>
    <row r="9" ht="28" customHeight="1">
      <c r="A9" s="170" t="inlineStr">
        <is>
          <t>40(a)(ii)</t>
        </is>
      </c>
      <c r="B9" s="40" t="inlineStr">
        <is>
          <t>Income-tax paid on behalf of employee / associate — not deductible</t>
        </is>
      </c>
      <c r="C9" s="158" t="n">
        <v>0</v>
      </c>
      <c r="D9" s="158" t="n">
        <v>0</v>
      </c>
      <c r="E9" s="171">
        <f>IF(C9-D9&gt;0,C9-D9,0)</f>
        <v/>
      </c>
      <c r="F9" s="156" t="inlineStr"/>
      <c r="G9" s="153" t="inlineStr">
        <is>
          <t>Pending ⏳</t>
        </is>
      </c>
      <c r="H9" s="172" t="inlineStr">
        <is>
          <t>Cl. 17</t>
        </is>
      </c>
      <c r="I9" s="95" t="inlineStr">
        <is>
          <t>Check tax paid by employer on salary perquisites; disallow</t>
        </is>
      </c>
    </row>
    <row r="10" ht="28" customHeight="1">
      <c r="A10" s="170" t="inlineStr">
        <is>
          <t>40(a)(iia)</t>
        </is>
      </c>
      <c r="B10" s="34" t="inlineStr">
        <is>
          <t>Wealth Tax paid — not deductible</t>
        </is>
      </c>
      <c r="C10" s="158" t="n">
        <v>0</v>
      </c>
      <c r="D10" s="158" t="n">
        <v>0</v>
      </c>
      <c r="E10" s="171">
        <f>IF(C10-D10&gt;0,C10-D10,0)</f>
        <v/>
      </c>
      <c r="F10" s="156" t="inlineStr"/>
      <c r="G10" s="153" t="inlineStr">
        <is>
          <t>Pending ⏳</t>
        </is>
      </c>
      <c r="H10" s="172" t="inlineStr">
        <is>
          <t>Cl. 17</t>
        </is>
      </c>
      <c r="I10" s="95" t="inlineStr">
        <is>
          <t>Wealth Tax abolished but check old assessments</t>
        </is>
      </c>
    </row>
    <row r="11" ht="28" customHeight="1">
      <c r="A11" s="170" t="inlineStr">
        <is>
          <t>40(a)(iii)</t>
        </is>
      </c>
      <c r="B11" s="40" t="inlineStr">
        <is>
          <t>Salary paid outside India without TDS deduction</t>
        </is>
      </c>
      <c r="C11" s="158" t="n">
        <v>0</v>
      </c>
      <c r="D11" s="158" t="n">
        <v>0</v>
      </c>
      <c r="E11" s="171">
        <f>IF(C11-D11&gt;0,C11-D11,0)</f>
        <v/>
      </c>
      <c r="F11" s="156" t="inlineStr"/>
      <c r="G11" s="153" t="inlineStr">
        <is>
          <t>Pending ⏳</t>
        </is>
      </c>
      <c r="H11" s="172" t="inlineStr">
        <is>
          <t>Cl. 28</t>
        </is>
      </c>
      <c r="I11" s="95" t="inlineStr">
        <is>
          <t>Expat salaries; foreign payroll without TDS</t>
        </is>
      </c>
    </row>
    <row r="12" ht="28" customHeight="1">
      <c r="A12" s="170" t="inlineStr">
        <is>
          <t>40(a)(v)</t>
        </is>
      </c>
      <c r="B12" s="34" t="inlineStr">
        <is>
          <t>Tax on perquisites paid by employer u/s 192(1A)</t>
        </is>
      </c>
      <c r="C12" s="158" t="n">
        <v>0</v>
      </c>
      <c r="D12" s="158" t="n">
        <v>0</v>
      </c>
      <c r="E12" s="171">
        <f>IF(C12-D12&gt;0,C12-D12,0)</f>
        <v/>
      </c>
      <c r="F12" s="156" t="inlineStr"/>
      <c r="G12" s="153" t="inlineStr">
        <is>
          <t>Pending ⏳</t>
        </is>
      </c>
      <c r="H12" s="172" t="inlineStr">
        <is>
          <t>Cl. 17</t>
        </is>
      </c>
      <c r="I12" s="95" t="inlineStr">
        <is>
          <t>Identify perquisite tax paid by employer; disallow</t>
        </is>
      </c>
    </row>
    <row r="13">
      <c r="A13" s="31" t="inlineStr">
        <is>
          <t>B. SECTION 40(b) — PARTNERS' REMUNERATION &amp; INTEREST (FIRMS / LLP ONLY)</t>
        </is>
      </c>
    </row>
    <row r="14" ht="28" customHeight="1">
      <c r="A14" s="170" t="inlineStr">
        <is>
          <t>40(b)(i)</t>
        </is>
      </c>
      <c r="B14" s="34" t="inlineStr">
        <is>
          <t>Interest to partners — excess over 12% p.a. on capital</t>
        </is>
      </c>
      <c r="C14" s="158" t="n">
        <v>0</v>
      </c>
      <c r="D14" s="158" t="n">
        <v>0</v>
      </c>
      <c r="E14" s="171">
        <f>IF(C14-D14&gt;0,C14-D14,0)</f>
        <v/>
      </c>
      <c r="F14" s="156" t="inlineStr"/>
      <c r="G14" s="153" t="inlineStr">
        <is>
          <t>Pending ⏳</t>
        </is>
      </c>
      <c r="H14" s="172" t="inlineStr">
        <is>
          <t>Cl. 16</t>
        </is>
      </c>
      <c r="I14" s="95" t="inlineStr">
        <is>
          <t>Interest rate in deed vs 12% cap; compute excess</t>
        </is>
      </c>
    </row>
    <row r="15" ht="28" customHeight="1">
      <c r="A15" s="170" t="inlineStr">
        <is>
          <t>40(b)(ii)</t>
        </is>
      </c>
      <c r="B15" s="40" t="inlineStr">
        <is>
          <t>Remuneration to working partners — excess over prescribed limit</t>
        </is>
      </c>
      <c r="C15" s="158" t="n">
        <v>0</v>
      </c>
      <c r="D15" s="158" t="n">
        <v>0</v>
      </c>
      <c r="E15" s="171">
        <f>IF(C15-D15&gt;0,C15-D15,0)</f>
        <v/>
      </c>
      <c r="F15" s="156" t="inlineStr"/>
      <c r="G15" s="153" t="inlineStr">
        <is>
          <t>Pending ⏳</t>
        </is>
      </c>
      <c r="H15" s="172" t="inlineStr">
        <is>
          <t>Cl. 16</t>
        </is>
      </c>
      <c r="I15" s="95" t="inlineStr">
        <is>
          <t>Book profits computation; limits: ₹3L = 90% or ₹1.5L; balance = 60%</t>
        </is>
      </c>
    </row>
    <row r="16">
      <c r="A16" s="31" t="inlineStr">
        <is>
          <t>C. SECTION 40A(2) — PAYMENTS TO RELATIVES / ASSOCIATED PERSONS</t>
        </is>
      </c>
    </row>
    <row r="17" ht="28" customHeight="1">
      <c r="A17" s="170" t="inlineStr">
        <is>
          <t>40A(2)(a)</t>
        </is>
      </c>
      <c r="B17" s="40" t="inlineStr">
        <is>
          <t>Excessive payments to specified persons listed u/s 40A(2)(b) — related parties</t>
        </is>
      </c>
      <c r="C17" s="158" t="n">
        <v>0</v>
      </c>
      <c r="D17" s="158" t="n">
        <v>0</v>
      </c>
      <c r="E17" s="171">
        <f>IF(C17-D17&gt;0,C17-D17,0)</f>
        <v/>
      </c>
      <c r="F17" s="156" t="inlineStr"/>
      <c r="G17" s="153" t="inlineStr">
        <is>
          <t>Pending ⏳</t>
        </is>
      </c>
      <c r="H17" s="172" t="inlineStr">
        <is>
          <t>Cl. 23</t>
        </is>
      </c>
      <c r="I17" s="95" t="inlineStr">
        <is>
          <t>Compare with market rate for similar services; disallow excess</t>
        </is>
      </c>
    </row>
    <row r="18" ht="28" customHeight="1">
      <c r="A18" s="170" t="inlineStr">
        <is>
          <t>40A(2)(b)</t>
        </is>
      </c>
      <c r="B18" s="34" t="inlineStr">
        <is>
          <t>Director's remuneration / rent / commission to relatives — excess portion</t>
        </is>
      </c>
      <c r="C18" s="158" t="n">
        <v>0</v>
      </c>
      <c r="D18" s="158" t="n">
        <v>0</v>
      </c>
      <c r="E18" s="171">
        <f>IF(C18-D18&gt;0,C18-D18,0)</f>
        <v/>
      </c>
      <c r="F18" s="156" t="inlineStr"/>
      <c r="G18" s="153" t="inlineStr">
        <is>
          <t>Pending ⏳</t>
        </is>
      </c>
      <c r="H18" s="172" t="inlineStr">
        <is>
          <t>Cl. 23</t>
        </is>
      </c>
      <c r="I18" s="95" t="inlineStr">
        <is>
          <t>Obtain comparables; verify arm's length; document basis</t>
        </is>
      </c>
    </row>
    <row r="19">
      <c r="A19" s="31" t="inlineStr">
        <is>
          <t>D. SECTION 40A(3) &amp; 40A(3A) — CASH PAYMENTS</t>
        </is>
      </c>
    </row>
    <row r="20" ht="28" customHeight="1">
      <c r="A20" s="170" t="inlineStr">
        <is>
          <t>40A(3)</t>
        </is>
      </c>
      <c r="B20" s="34" t="inlineStr">
        <is>
          <t>Cash payments &gt;₹10,000 to single party in a day (₹35,000 for transporters) — 100% disallowance</t>
        </is>
      </c>
      <c r="C20" s="158" t="n">
        <v>0</v>
      </c>
      <c r="D20" s="158" t="n">
        <v>0</v>
      </c>
      <c r="E20" s="171">
        <f>IF(C20-D20&gt;0,C20-D20,0)</f>
        <v/>
      </c>
      <c r="F20" s="156" t="inlineStr"/>
      <c r="G20" s="153" t="inlineStr">
        <is>
          <t>Pending ⏳</t>
        </is>
      </c>
      <c r="H20" s="172" t="inlineStr">
        <is>
          <t>Cl. 18</t>
        </is>
      </c>
      <c r="I20" s="95" t="inlineStr">
        <is>
          <t>Review all cash vouchers &gt; ₹10,000; list exceptions under Rule 6DD</t>
        </is>
      </c>
    </row>
    <row r="21" ht="28" customHeight="1">
      <c r="A21" s="170" t="inlineStr">
        <is>
          <t>40A(3A)</t>
        </is>
      </c>
      <c r="B21" s="40" t="inlineStr">
        <is>
          <t>Payments in cash for expenditure incurred in prior year &gt;₹10,000</t>
        </is>
      </c>
      <c r="C21" s="158" t="n">
        <v>0</v>
      </c>
      <c r="D21" s="158" t="n">
        <v>0</v>
      </c>
      <c r="E21" s="171">
        <f>IF(C21-D21&gt;0,C21-D21,0)</f>
        <v/>
      </c>
      <c r="F21" s="156" t="inlineStr"/>
      <c r="G21" s="153" t="inlineStr">
        <is>
          <t>Pending ⏳</t>
        </is>
      </c>
      <c r="H21" s="172" t="inlineStr">
        <is>
          <t>Cl. 19</t>
        </is>
      </c>
      <c r="I21" s="95" t="inlineStr">
        <is>
          <t>Review creditors from prior year discharged by cash this year</t>
        </is>
      </c>
    </row>
    <row r="22">
      <c r="A22" s="31" t="inlineStr">
        <is>
          <t>E. SECTION 43B — DEDUCTIONS ONLY ON ACTUAL PAYMENT (by due date of ITR filing)</t>
        </is>
      </c>
    </row>
    <row r="23" ht="28" customHeight="1">
      <c r="A23" s="170" t="inlineStr">
        <is>
          <t>43B(a)</t>
        </is>
      </c>
      <c r="B23" s="40" t="inlineStr">
        <is>
          <t>Any tax, duty, cess, fee — Customs, GST, Excise, Entry Tax</t>
        </is>
      </c>
      <c r="C23" s="158" t="n">
        <v>0</v>
      </c>
      <c r="D23" s="158" t="n">
        <v>0</v>
      </c>
      <c r="E23" s="171">
        <f>IF(C23-D23&gt;0,C23-D23,0)</f>
        <v/>
      </c>
      <c r="F23" s="156" t="inlineStr"/>
      <c r="G23" s="153" t="inlineStr">
        <is>
          <t>Pending ⏳</t>
        </is>
      </c>
      <c r="H23" s="172" t="inlineStr">
        <is>
          <t>Cl. 26</t>
        </is>
      </c>
      <c r="I23" s="95" t="inlineStr">
        <is>
          <t>Verify payment before 31-Oct-2026 filing date</t>
        </is>
      </c>
    </row>
    <row r="24" ht="28" customHeight="1">
      <c r="A24" s="170" t="inlineStr">
        <is>
          <t>43B(b)</t>
        </is>
      </c>
      <c r="B24" s="34" t="inlineStr">
        <is>
          <t>Employer's contribution to PF, Gratuity Fund, Superannuation — paid to trust by due date</t>
        </is>
      </c>
      <c r="C24" s="158" t="n">
        <v>0</v>
      </c>
      <c r="D24" s="158" t="n">
        <v>0</v>
      </c>
      <c r="E24" s="171">
        <f>IF(C24-D24&gt;0,C24-D24,0)</f>
        <v/>
      </c>
      <c r="F24" s="156" t="inlineStr"/>
      <c r="G24" s="153" t="inlineStr">
        <is>
          <t>Pending ⏳</t>
        </is>
      </c>
      <c r="H24" s="172" t="inlineStr">
        <is>
          <t>Cl. 26</t>
        </is>
      </c>
      <c r="I24" s="95" t="inlineStr">
        <is>
          <t>Check Form 16A; PF ECR; Trust payment receipts</t>
        </is>
      </c>
    </row>
    <row r="25" ht="28" customHeight="1">
      <c r="A25" s="170" t="inlineStr">
        <is>
          <t>43B(c)</t>
        </is>
      </c>
      <c r="B25" s="40" t="inlineStr">
        <is>
          <t>Bonus or commission to employees — only if paid before ITR due date</t>
        </is>
      </c>
      <c r="C25" s="158" t="n">
        <v>0</v>
      </c>
      <c r="D25" s="158" t="n">
        <v>0</v>
      </c>
      <c r="E25" s="171">
        <f>IF(C25-D25&gt;0,C25-D25,0)</f>
        <v/>
      </c>
      <c r="F25" s="156" t="inlineStr"/>
      <c r="G25" s="153" t="inlineStr">
        <is>
          <t>Pending ⏳</t>
        </is>
      </c>
      <c r="H25" s="172" t="inlineStr">
        <is>
          <t>Cl. 26</t>
        </is>
      </c>
      <c r="I25" s="95" t="inlineStr">
        <is>
          <t>Verify bonus paid before 31-Oct-2026</t>
        </is>
      </c>
    </row>
    <row r="26" ht="28" customHeight="1">
      <c r="A26" s="170" t="inlineStr">
        <is>
          <t>43B(d)</t>
        </is>
      </c>
      <c r="B26" s="34" t="inlineStr">
        <is>
          <t>Interest on loans from Public Financial Institutions / SFCs / SIIDC — actually paid</t>
        </is>
      </c>
      <c r="C26" s="158" t="n">
        <v>0</v>
      </c>
      <c r="D26" s="158" t="n">
        <v>0</v>
      </c>
      <c r="E26" s="171">
        <f>IF(C26-D26&gt;0,C26-D26,0)</f>
        <v/>
      </c>
      <c r="F26" s="156" t="inlineStr"/>
      <c r="G26" s="153" t="inlineStr">
        <is>
          <t>Pending ⏳</t>
        </is>
      </c>
      <c r="H26" s="172" t="inlineStr">
        <is>
          <t>Cl. 26</t>
        </is>
      </c>
      <c r="I26" s="95" t="inlineStr">
        <is>
          <t>Reconcile interest accrued vs paid; check loan statements</t>
        </is>
      </c>
    </row>
    <row r="27" ht="28" customHeight="1">
      <c r="A27" s="170" t="inlineStr">
        <is>
          <t>43B(e)</t>
        </is>
      </c>
      <c r="B27" s="40" t="inlineStr">
        <is>
          <t>Interest on loans from Scheduled Banks / Co-op Banks — paid by due date</t>
        </is>
      </c>
      <c r="C27" s="158" t="n">
        <v>0</v>
      </c>
      <c r="D27" s="158" t="n">
        <v>0</v>
      </c>
      <c r="E27" s="171">
        <f>IF(C27-D27&gt;0,C27-D27,0)</f>
        <v/>
      </c>
      <c r="F27" s="156" t="inlineStr"/>
      <c r="G27" s="153" t="inlineStr">
        <is>
          <t>Pending ⏳</t>
        </is>
      </c>
      <c r="H27" s="172" t="inlineStr">
        <is>
          <t>Cl. 26</t>
        </is>
      </c>
      <c r="I27" s="95" t="inlineStr">
        <is>
          <t>Verify interest debited vs paid to bank</t>
        </is>
      </c>
    </row>
    <row r="28" ht="28" customHeight="1">
      <c r="A28" s="170" t="inlineStr">
        <is>
          <t>43B(f)</t>
        </is>
      </c>
      <c r="B28" s="34" t="inlineStr">
        <is>
          <t>Leave encashment — only if paid to employees during the year</t>
        </is>
      </c>
      <c r="C28" s="158" t="n">
        <v>0</v>
      </c>
      <c r="D28" s="158" t="n">
        <v>0</v>
      </c>
      <c r="E28" s="171">
        <f>IF(C28-D28&gt;0,C28-D28,0)</f>
        <v/>
      </c>
      <c r="F28" s="156" t="inlineStr"/>
      <c r="G28" s="153" t="inlineStr">
        <is>
          <t>Pending ⏳</t>
        </is>
      </c>
      <c r="H28" s="172" t="inlineStr">
        <is>
          <t>Cl. 26</t>
        </is>
      </c>
      <c r="I28" s="95" t="inlineStr">
        <is>
          <t>Review leave encashment paid vs provided</t>
        </is>
      </c>
    </row>
    <row r="29" ht="28" customHeight="1">
      <c r="A29" s="170" t="inlineStr">
        <is>
          <t>43B(h)</t>
        </is>
      </c>
      <c r="B29" s="40" t="inlineStr">
        <is>
          <t>MSME payments &gt;45 days (for Section 2(b) MSMEs) — disallow amount outstanding beyond 45 days</t>
        </is>
      </c>
      <c r="C29" s="158" t="n">
        <v>0</v>
      </c>
      <c r="D29" s="158" t="n">
        <v>0</v>
      </c>
      <c r="E29" s="171">
        <f>IF(C29-D29&gt;0,C29-D29,0)</f>
        <v/>
      </c>
      <c r="F29" s="156" t="inlineStr"/>
      <c r="G29" s="153" t="inlineStr">
        <is>
          <t>Pending ⏳</t>
        </is>
      </c>
      <c r="H29" s="172" t="inlineStr">
        <is>
          <t>Cl. 26</t>
        </is>
      </c>
      <c r="I29" s="95" t="inlineStr">
        <is>
          <t>Critical from AY 2024-25 onwards; obtain MSME certificates from vendors; age the payables</t>
        </is>
      </c>
    </row>
    <row r="30">
      <c r="A30" s="31" t="inlineStr">
        <is>
          <t>F. SECTION 35, 35D, 35DD, 35DDA — SCIENTIFIC RESEARCH / PRELIMINARY EXPENSES</t>
        </is>
      </c>
    </row>
    <row r="31" ht="28" customHeight="1">
      <c r="A31" s="170" t="inlineStr">
        <is>
          <t>35(1)</t>
        </is>
      </c>
      <c r="B31" s="40" t="inlineStr">
        <is>
          <t>Scientific Research expenditure — in-house R&amp;D: 100% deduction (weighted deduction discontinued)</t>
        </is>
      </c>
      <c r="C31" s="158" t="n">
        <v>0</v>
      </c>
      <c r="D31" s="158" t="n">
        <v>0</v>
      </c>
      <c r="E31" s="171">
        <f>IF(C31-D31&gt;0,C31-D31,0)</f>
        <v/>
      </c>
      <c r="F31" s="156" t="inlineStr"/>
      <c r="G31" s="153" t="inlineStr">
        <is>
          <t>Pending ⏳</t>
        </is>
      </c>
      <c r="H31" s="172" t="inlineStr">
        <is>
          <t>Cl. 20</t>
        </is>
      </c>
      <c r="I31" s="95" t="inlineStr">
        <is>
          <t>Verify DSIR approval; actual expenditure; receipts from approved lab</t>
        </is>
      </c>
    </row>
    <row r="32" ht="28" customHeight="1">
      <c r="A32" s="170" t="inlineStr">
        <is>
          <t>35D</t>
        </is>
      </c>
      <c r="B32" s="34" t="inlineStr">
        <is>
          <t>Preliminary expenses — amortised over 5 years (1/5th each year, max 5% of Project Cost)</t>
        </is>
      </c>
      <c r="C32" s="158" t="n">
        <v>0</v>
      </c>
      <c r="D32" s="158" t="n">
        <v>0</v>
      </c>
      <c r="E32" s="171">
        <f>IF(C32-D32&gt;0,C32-D32,0)</f>
        <v/>
      </c>
      <c r="F32" s="156" t="inlineStr"/>
      <c r="G32" s="153" t="inlineStr">
        <is>
          <t>Pending ⏳</t>
        </is>
      </c>
      <c r="H32" s="172" t="inlineStr">
        <is>
          <t>Cl. 20</t>
        </is>
      </c>
      <c r="I32" s="95" t="inlineStr">
        <is>
          <t>Compute 1/5th; verify original expenditure and project cost basis</t>
        </is>
      </c>
    </row>
    <row r="33" ht="28" customHeight="1">
      <c r="A33" s="170" t="inlineStr">
        <is>
          <t>35DDA</t>
        </is>
      </c>
      <c r="B33" s="40" t="inlineStr">
        <is>
          <t>Expenditure on VRS — 1/5th allowable each year over 5 years</t>
        </is>
      </c>
      <c r="C33" s="158" t="n">
        <v>0</v>
      </c>
      <c r="D33" s="158" t="n">
        <v>0</v>
      </c>
      <c r="E33" s="171">
        <f>IF(C33-D33&gt;0,C33-D33,0)</f>
        <v/>
      </c>
      <c r="F33" s="156" t="inlineStr"/>
      <c r="G33" s="153" t="inlineStr">
        <is>
          <t>Pending ⏳</t>
        </is>
      </c>
      <c r="H33" s="172" t="inlineStr">
        <is>
          <t>Cl. 20</t>
        </is>
      </c>
      <c r="I33" s="95" t="inlineStr">
        <is>
          <t>Verify VRS payments; compute 1/5th installment</t>
        </is>
      </c>
    </row>
    <row r="34">
      <c r="A34" s="31" t="inlineStr">
        <is>
          <t>G. SECTION 32 — DEPRECIATION &amp; ADDITIONAL DEPRECIATION</t>
        </is>
      </c>
    </row>
    <row r="35" ht="28" customHeight="1">
      <c r="A35" s="170" t="inlineStr">
        <is>
          <t>32(1)(ii)</t>
        </is>
      </c>
      <c r="B35" s="40" t="inlineStr">
        <is>
          <t>Depreciation on Tangible Assets — WDV method as per IT Rules, Appendix I</t>
        </is>
      </c>
      <c r="C35" s="158" t="n">
        <v>0</v>
      </c>
      <c r="D35" s="158" t="n">
        <v>0</v>
      </c>
      <c r="E35" s="171">
        <f>IF(C35-D35&gt;0,C35-D35,0)</f>
        <v/>
      </c>
      <c r="F35" s="156" t="inlineStr"/>
      <c r="G35" s="153" t="inlineStr">
        <is>
          <t>Pending ⏳</t>
        </is>
      </c>
      <c r="H35" s="172" t="inlineStr">
        <is>
          <t>Cl. 18/19</t>
        </is>
      </c>
      <c r="I35" s="95" t="inlineStr">
        <is>
          <t>Prepare block-wise WDV schedule; apply IT rates; compare with Co. Act depreciation</t>
        </is>
      </c>
    </row>
    <row r="36" ht="28" customHeight="1">
      <c r="A36" s="170" t="inlineStr">
        <is>
          <t>32(1)(ii)</t>
        </is>
      </c>
      <c r="B36" s="34" t="inlineStr">
        <is>
          <t>Depreciation on Intangible Assets — 25% on patents, copyrights, know-how, etc.</t>
        </is>
      </c>
      <c r="C36" s="158" t="n">
        <v>0</v>
      </c>
      <c r="D36" s="158" t="n">
        <v>0</v>
      </c>
      <c r="E36" s="171">
        <f>IF(C36-D36&gt;0,C36-D36,0)</f>
        <v/>
      </c>
      <c r="F36" s="156" t="inlineStr"/>
      <c r="G36" s="153" t="inlineStr">
        <is>
          <t>Pending ⏳</t>
        </is>
      </c>
      <c r="H36" s="172" t="inlineStr">
        <is>
          <t>Cl. 18/19</t>
        </is>
      </c>
      <c r="I36" s="95" t="inlineStr">
        <is>
          <t>Identify intangibles; apply 25% IT depreciation; exclude goodwill (disallowed since AY 21-22)</t>
        </is>
      </c>
    </row>
    <row r="37" ht="28" customHeight="1">
      <c r="A37" s="170" t="inlineStr">
        <is>
          <t>32(1)(iia)</t>
        </is>
      </c>
      <c r="B37" s="40" t="inlineStr">
        <is>
          <t>Additional Depreciation — 20% on new plant &amp; machinery (first year)</t>
        </is>
      </c>
      <c r="C37" s="158" t="n">
        <v>0</v>
      </c>
      <c r="D37" s="158" t="n">
        <v>0</v>
      </c>
      <c r="E37" s="171">
        <f>IF(C37-D37&gt;0,C37-D37,0)</f>
        <v/>
      </c>
      <c r="F37" s="156" t="inlineStr"/>
      <c r="G37" s="153" t="inlineStr">
        <is>
          <t>Pending ⏳</t>
        </is>
      </c>
      <c r="H37" s="172" t="inlineStr">
        <is>
          <t>Cl. 18/19</t>
        </is>
      </c>
      <c r="I37" s="95" t="inlineStr">
        <is>
          <t>Identify new P&amp;M put to use during year; 10% if used &lt; 180 days; check manufacturing activity</t>
        </is>
      </c>
    </row>
    <row r="38" ht="28" customHeight="1">
      <c r="A38" s="170" t="inlineStr">
        <is>
          <t>32(2)</t>
        </is>
      </c>
      <c r="B38" s="34" t="inlineStr">
        <is>
          <t>Unabsorbed Depreciation — carried forward indefinitely</t>
        </is>
      </c>
      <c r="C38" s="158" t="n">
        <v>0</v>
      </c>
      <c r="D38" s="158" t="n">
        <v>0</v>
      </c>
      <c r="E38" s="171">
        <f>IF(C38-D38&gt;0,C38-D38,0)</f>
        <v/>
      </c>
      <c r="F38" s="156" t="inlineStr"/>
      <c r="G38" s="153" t="inlineStr">
        <is>
          <t>Pending ⏳</t>
        </is>
      </c>
      <c r="H38" s="172" t="inlineStr">
        <is>
          <t>Cl. 32</t>
        </is>
      </c>
      <c r="I38" s="95" t="inlineStr">
        <is>
          <t>Trace from prior years; confirm no restriction on carry forward</t>
        </is>
      </c>
    </row>
    <row r="39" ht="28" customHeight="1">
      <c r="A39" s="170" t="inlineStr">
        <is>
          <t>32AC</t>
        </is>
      </c>
      <c r="B39" s="40" t="inlineStr">
        <is>
          <t>Investment Allowance — Plant &amp; Machinery &gt;₹25 Cr (historical, wind-down)</t>
        </is>
      </c>
      <c r="C39" s="158" t="n">
        <v>0</v>
      </c>
      <c r="D39" s="158" t="n">
        <v>0</v>
      </c>
      <c r="E39" s="171">
        <f>IF(C39-D39&gt;0,C39-D39,0)</f>
        <v/>
      </c>
      <c r="F39" s="156" t="inlineStr"/>
      <c r="G39" s="153" t="inlineStr">
        <is>
          <t>Pending ⏳</t>
        </is>
      </c>
      <c r="H39" s="172" t="inlineStr">
        <is>
          <t>Cl. 22</t>
        </is>
      </c>
      <c r="I39" s="95" t="inlineStr">
        <is>
          <t>Check if earlier year claim pending; comply with conditions</t>
        </is>
      </c>
    </row>
    <row r="40">
      <c r="A40" s="31" t="inlineStr">
        <is>
          <t>H. SECTION 43(5) — SPECULATIVE TRANSACTIONS</t>
        </is>
      </c>
    </row>
    <row r="41" ht="28" customHeight="1">
      <c r="A41" s="170" t="inlineStr">
        <is>
          <t>43(5)</t>
        </is>
      </c>
      <c r="B41" s="40" t="inlineStr">
        <is>
          <t>Transactions in commodity / securities settled without actual delivery</t>
        </is>
      </c>
      <c r="C41" s="158" t="n">
        <v>0</v>
      </c>
      <c r="D41" s="158" t="n">
        <v>0</v>
      </c>
      <c r="E41" s="171">
        <f>IF(C41-D41&gt;0,C41-D41,0)</f>
        <v/>
      </c>
      <c r="F41" s="156" t="inlineStr"/>
      <c r="G41" s="153" t="inlineStr">
        <is>
          <t>Pending ⏳</t>
        </is>
      </c>
      <c r="H41" s="172" t="inlineStr">
        <is>
          <t>Cl. 25</t>
        </is>
      </c>
      <c r="I41" s="95" t="inlineStr">
        <is>
          <t>Identify F&amp;O, intraday, commodity contracts; classify as speculative or business income</t>
        </is>
      </c>
    </row>
    <row r="42">
      <c r="A42" s="31" t="inlineStr">
        <is>
          <t>I. SECTION 14A — DISALLOWANCE RELATED TO EXEMPT INCOME</t>
        </is>
      </c>
    </row>
    <row r="43" ht="28" customHeight="1">
      <c r="A43" s="170" t="inlineStr">
        <is>
          <t>14A r.w. Rule 8D</t>
        </is>
      </c>
      <c r="B43" s="40" t="inlineStr">
        <is>
          <t>Expenditure incurred in relation to exempt income — disallow under Rule 8D formula</t>
        </is>
      </c>
      <c r="C43" s="158" t="n">
        <v>0</v>
      </c>
      <c r="D43" s="158" t="n">
        <v>0</v>
      </c>
      <c r="E43" s="171">
        <f>IF(C43-D43&gt;0,C43-D43,0)</f>
        <v/>
      </c>
      <c r="F43" s="156" t="inlineStr"/>
      <c r="G43" s="153" t="inlineStr">
        <is>
          <t>Pending ⏳</t>
        </is>
      </c>
      <c r="H43" s="172" t="inlineStr">
        <is>
          <t>Cl. 17</t>
        </is>
      </c>
      <c r="I43" s="95" t="inlineStr">
        <is>
          <t>Compute Rule 8D: direct expenses + 1% of average value of investments earning exempt income</t>
        </is>
      </c>
    </row>
    <row r="44">
      <c r="A44" s="31" t="inlineStr">
        <is>
          <t>J. SECTION 92CE / GAAR — TRANSFER PRICING / GENERAL ANTI AVOIDANCE</t>
        </is>
      </c>
    </row>
    <row r="45" ht="28" customHeight="1">
      <c r="A45" s="170" t="inlineStr">
        <is>
          <t>92CE</t>
        </is>
      </c>
      <c r="B45" s="40" t="inlineStr">
        <is>
          <t>Secondary adjustment — if primary adjustment made in TP — advance pricing agreement compliance</t>
        </is>
      </c>
      <c r="C45" s="158" t="n">
        <v>0</v>
      </c>
      <c r="D45" s="158" t="n">
        <v>0</v>
      </c>
      <c r="E45" s="171">
        <f>IF(C45-D45&gt;0,C45-D45,0)</f>
        <v/>
      </c>
      <c r="F45" s="156" t="inlineStr"/>
      <c r="G45" s="153" t="inlineStr">
        <is>
          <t>Pending ⏳</t>
        </is>
      </c>
      <c r="H45" s="172" t="inlineStr">
        <is>
          <t>Cl. 36</t>
        </is>
      </c>
      <c r="I45" s="95" t="inlineStr">
        <is>
          <t>Verify if TP adjustment made; compute secondary adjustment; imputed interest on excess</t>
        </is>
      </c>
    </row>
    <row r="46" ht="28" customHeight="1">
      <c r="A46" s="170" t="inlineStr">
        <is>
          <t>95-102</t>
        </is>
      </c>
      <c r="B46" s="34" t="inlineStr">
        <is>
          <t>GAAR — General Anti-Avoidance Rule — arrangement lacking commercial substance</t>
        </is>
      </c>
      <c r="C46" s="158" t="n">
        <v>0</v>
      </c>
      <c r="D46" s="158" t="n">
        <v>0</v>
      </c>
      <c r="E46" s="171">
        <f>IF(C46-D46&gt;0,C46-D46,0)</f>
        <v/>
      </c>
      <c r="F46" s="156" t="inlineStr"/>
      <c r="G46" s="153" t="inlineStr">
        <is>
          <t>Pending ⏳</t>
        </is>
      </c>
      <c r="H46" s="172" t="inlineStr">
        <is>
          <t>Cl. —</t>
        </is>
      </c>
      <c r="I46" s="95" t="inlineStr">
        <is>
          <t>Identify any arrangement appearing as tax avoidance; document business purpose</t>
        </is>
      </c>
    </row>
    <row r="47">
      <c r="A47" s="31" t="inlineStr">
        <is>
          <t>K. SECTION 37 — CAPITAL VS REVENUE / PERSONAL EXPENSES</t>
        </is>
      </c>
    </row>
    <row r="48" ht="28" customHeight="1">
      <c r="A48" s="170" t="inlineStr">
        <is>
          <t>37(1)</t>
        </is>
      </c>
      <c r="B48" s="34" t="inlineStr">
        <is>
          <t>Capital expenditure incorrectly charged to P&amp;L — disallow and add to asset block</t>
        </is>
      </c>
      <c r="C48" s="158" t="n">
        <v>0</v>
      </c>
      <c r="D48" s="158" t="n">
        <v>0</v>
      </c>
      <c r="E48" s="171">
        <f>IF(C48-D48&gt;0,C48-D48,0)</f>
        <v/>
      </c>
      <c r="F48" s="156" t="inlineStr"/>
      <c r="G48" s="153" t="inlineStr">
        <is>
          <t>Pending ⏳</t>
        </is>
      </c>
      <c r="H48" s="172" t="inlineStr">
        <is>
          <t>Cl. 17</t>
        </is>
      </c>
      <c r="I48" s="95" t="inlineStr">
        <is>
          <t>Review additions in expense ledgers &gt;₹1 lakh; check nature; capitalise if necessary</t>
        </is>
      </c>
    </row>
    <row r="49" ht="28" customHeight="1">
      <c r="A49" s="170" t="inlineStr">
        <is>
          <t>37(1)</t>
        </is>
      </c>
      <c r="B49" s="40" t="inlineStr">
        <is>
          <t>Personal expenses of proprietor / partners / directors charged to P&amp;L</t>
        </is>
      </c>
      <c r="C49" s="158" t="n">
        <v>0</v>
      </c>
      <c r="D49" s="158" t="n">
        <v>0</v>
      </c>
      <c r="E49" s="171">
        <f>IF(C49-D49&gt;0,C49-D49,0)</f>
        <v/>
      </c>
      <c r="F49" s="156" t="inlineStr"/>
      <c r="G49" s="153" t="inlineStr">
        <is>
          <t>Pending ⏳</t>
        </is>
      </c>
      <c r="H49" s="172" t="inlineStr">
        <is>
          <t>Cl. 17</t>
        </is>
      </c>
      <c r="I49" s="95" t="inlineStr">
        <is>
          <t>Review personal travel, entertainment, club fees — partial or full disallowance</t>
        </is>
      </c>
    </row>
    <row r="50" ht="28" customHeight="1">
      <c r="A50" s="170" t="inlineStr">
        <is>
          <t>37(2B)</t>
        </is>
      </c>
      <c r="B50" s="34" t="inlineStr">
        <is>
          <t>Advertisement in political party publication — fully disallowed</t>
        </is>
      </c>
      <c r="C50" s="158" t="n">
        <v>0</v>
      </c>
      <c r="D50" s="158" t="n">
        <v>0</v>
      </c>
      <c r="E50" s="171">
        <f>IF(C50-D50&gt;0,C50-D50,0)</f>
        <v/>
      </c>
      <c r="F50" s="156" t="inlineStr"/>
      <c r="G50" s="153" t="inlineStr">
        <is>
          <t>Pending ⏳</t>
        </is>
      </c>
      <c r="H50" s="172" t="inlineStr">
        <is>
          <t>Cl. 17</t>
        </is>
      </c>
      <c r="I50" s="95" t="inlineStr">
        <is>
          <t>Identify such payments; 100% disallow</t>
        </is>
      </c>
    </row>
    <row r="51">
      <c r="A51" s="31" t="inlineStr">
        <is>
          <t>L. SECTION 36 — SPECIFIC DEDUCTIONS — CONDITIONS TO VERIFY</t>
        </is>
      </c>
    </row>
    <row r="52" ht="28" customHeight="1">
      <c r="A52" s="170" t="inlineStr">
        <is>
          <t>36(1)(i)</t>
        </is>
      </c>
      <c r="B52" s="34" t="inlineStr">
        <is>
          <t>Insurance premium on stock — only for business stock</t>
        </is>
      </c>
      <c r="C52" s="158" t="n">
        <v>0</v>
      </c>
      <c r="D52" s="158" t="n">
        <v>0</v>
      </c>
      <c r="E52" s="171">
        <f>IF(C52-D52&gt;0,C52-D52,0)</f>
        <v/>
      </c>
      <c r="F52" s="156" t="inlineStr"/>
      <c r="G52" s="153" t="inlineStr">
        <is>
          <t>Pending ⏳</t>
        </is>
      </c>
      <c r="H52" s="172" t="inlineStr">
        <is>
          <t>Cl. 17</t>
        </is>
      </c>
      <c r="I52" s="95" t="inlineStr">
        <is>
          <t>Verify insurance policy covers business stock only</t>
        </is>
      </c>
    </row>
    <row r="53" ht="28" customHeight="1">
      <c r="A53" s="170" t="inlineStr">
        <is>
          <t>36(1)(iii)</t>
        </is>
      </c>
      <c r="B53" s="40" t="inlineStr">
        <is>
          <t>Interest on capital borrowed — only for business purpose</t>
        </is>
      </c>
      <c r="C53" s="158" t="n">
        <v>0</v>
      </c>
      <c r="D53" s="158" t="n">
        <v>0</v>
      </c>
      <c r="E53" s="171">
        <f>IF(C53-D53&gt;0,C53-D53,0)</f>
        <v/>
      </c>
      <c r="F53" s="156" t="inlineStr"/>
      <c r="G53" s="153" t="inlineStr">
        <is>
          <t>Pending ⏳</t>
        </is>
      </c>
      <c r="H53" s="172" t="inlineStr">
        <is>
          <t>Cl. 17</t>
        </is>
      </c>
      <c r="I53" s="95" t="inlineStr">
        <is>
          <t>Trace loan fund utilisation; disallow interest on personal borrowing</t>
        </is>
      </c>
    </row>
    <row r="54" ht="28" customHeight="1">
      <c r="A54" s="170" t="inlineStr">
        <is>
          <t>36(1)(v)</t>
        </is>
      </c>
      <c r="B54" s="34" t="inlineStr">
        <is>
          <t>Contribution to approved Gratuity Fund only</t>
        </is>
      </c>
      <c r="C54" s="158" t="n">
        <v>0</v>
      </c>
      <c r="D54" s="158" t="n">
        <v>0</v>
      </c>
      <c r="E54" s="171">
        <f>IF(C54-D54&gt;0,C54-D54,0)</f>
        <v/>
      </c>
      <c r="F54" s="156" t="inlineStr"/>
      <c r="G54" s="153" t="inlineStr">
        <is>
          <t>Pending ⏳</t>
        </is>
      </c>
      <c r="H54" s="172" t="inlineStr">
        <is>
          <t>Cl. 26</t>
        </is>
      </c>
      <c r="I54" s="95" t="inlineStr">
        <is>
          <t>Verify trust approval; actual payment to trust</t>
        </is>
      </c>
    </row>
    <row r="55" ht="28" customHeight="1">
      <c r="A55" s="170" t="inlineStr">
        <is>
          <t>36(1)(va)</t>
        </is>
      </c>
      <c r="B55" s="40" t="inlineStr">
        <is>
          <t>Employees' PF / ESI contribution — deductible only if paid before due date u/s 36(1)(va)</t>
        </is>
      </c>
      <c r="C55" s="158" t="n">
        <v>0</v>
      </c>
      <c r="D55" s="158" t="n">
        <v>0</v>
      </c>
      <c r="E55" s="171">
        <f>IF(C55-D55&gt;0,C55-D55,0)</f>
        <v/>
      </c>
      <c r="F55" s="156" t="inlineStr"/>
      <c r="G55" s="153" t="inlineStr">
        <is>
          <t>Pending ⏳</t>
        </is>
      </c>
      <c r="H55" s="172" t="inlineStr">
        <is>
          <t>Cl. 26</t>
        </is>
      </c>
      <c r="I55" s="95" t="inlineStr">
        <is>
          <t>CRITICAL: Supreme Court ruling — employee contribution disallowed if paid after due date under respective Acts</t>
        </is>
      </c>
    </row>
    <row r="56" ht="28" customHeight="1">
      <c r="A56" s="170" t="inlineStr">
        <is>
          <t>36(1)(vii)</t>
        </is>
      </c>
      <c r="B56" s="34" t="inlineStr">
        <is>
          <t>Bad Debts — deductible if written off in books AND debt previously offered to income</t>
        </is>
      </c>
      <c r="C56" s="158" t="n">
        <v>0</v>
      </c>
      <c r="D56" s="158" t="n">
        <v>0</v>
      </c>
      <c r="E56" s="171">
        <f>IF(C56-D56&gt;0,C56-D56,0)</f>
        <v/>
      </c>
      <c r="F56" s="156" t="inlineStr"/>
      <c r="G56" s="153" t="inlineStr">
        <is>
          <t>Pending ⏳</t>
        </is>
      </c>
      <c r="H56" s="172" t="inlineStr">
        <is>
          <t>Cl. 17</t>
        </is>
      </c>
      <c r="I56" s="95" t="inlineStr">
        <is>
          <t>Verify amount written off in books; confirm trade debt; check prior year taxability</t>
        </is>
      </c>
    </row>
    <row r="57" ht="28" customHeight="1">
      <c r="A57" s="170" t="inlineStr">
        <is>
          <t>36(1)(viia)</t>
        </is>
      </c>
      <c r="B57" s="40" t="inlineStr">
        <is>
          <t>Provision for bad and doubtful debts — only for banks/FIs/NBFCs — specified percentages</t>
        </is>
      </c>
      <c r="C57" s="158" t="n">
        <v>0</v>
      </c>
      <c r="D57" s="158" t="n">
        <v>0</v>
      </c>
      <c r="E57" s="171">
        <f>IF(C57-D57&gt;0,C57-D57,0)</f>
        <v/>
      </c>
      <c r="F57" s="156" t="inlineStr"/>
      <c r="G57" s="153" t="inlineStr">
        <is>
          <t>Pending ⏳</t>
        </is>
      </c>
      <c r="H57" s="172" t="inlineStr">
        <is>
          <t>Cl. 17</t>
        </is>
      </c>
      <c r="I57" s="95" t="inlineStr">
        <is>
          <t>If bank — compute allowable provision; non-bank entities cannot claim</t>
        </is>
      </c>
    </row>
    <row r="59" ht="28" customHeight="1">
      <c r="A59" s="96" t="inlineStr">
        <is>
          <t>TOTAL DISALLOWANCES — ALL SECTIONS</t>
        </is>
      </c>
      <c r="E59" s="173">
        <f>SUM(E5:E58)</f>
        <v/>
      </c>
      <c r="F59" s="174" t="inlineStr"/>
      <c r="G59" s="174" t="inlineStr"/>
      <c r="H59" s="174" t="inlineStr"/>
      <c r="I59" s="174" t="inlineStr"/>
    </row>
    <row r="61">
      <c r="A61" s="52" t="inlineStr">
        <is>
          <t>RECONCILIATION — BOOK PROFIT TO TAXABLE INCOME</t>
        </is>
      </c>
    </row>
    <row r="62">
      <c r="A62" s="175" t="inlineStr">
        <is>
          <t>Particulars</t>
        </is>
      </c>
      <c r="B62" s="176" t="inlineStr">
        <is>
          <t>Ref</t>
        </is>
      </c>
      <c r="C62" s="177" t="inlineStr">
        <is>
          <t>Amount (₹)</t>
        </is>
      </c>
      <c r="D62" s="178" t="inlineStr"/>
      <c r="E62" s="178" t="inlineStr"/>
      <c r="F62" s="178" t="inlineStr"/>
      <c r="G62" s="178" t="inlineStr"/>
      <c r="H62" s="178" t="inlineStr"/>
      <c r="I62" s="178" t="inlineStr"/>
    </row>
    <row r="63" ht="22" customHeight="1">
      <c r="A63" s="179" t="inlineStr">
        <is>
          <t>Net Profit / (Loss) as per P&amp;L (before tax)</t>
        </is>
      </c>
      <c r="B63" s="180" t="inlineStr">
        <is>
          <t>A</t>
        </is>
      </c>
      <c r="C63" s="181" t="n">
        <v>0</v>
      </c>
      <c r="D63" s="179" t="inlineStr"/>
      <c r="E63" s="179" t="inlineStr"/>
      <c r="F63" s="179" t="inlineStr"/>
      <c r="G63" s="179" t="inlineStr"/>
      <c r="H63" s="179" t="inlineStr"/>
      <c r="I63" s="179" t="inlineStr"/>
    </row>
    <row r="64" ht="22" customHeight="1">
      <c r="A64" s="179" t="inlineStr">
        <is>
          <t>Add: Total Disallowances (from above)</t>
        </is>
      </c>
      <c r="B64" s="180" t="inlineStr">
        <is>
          <t>B</t>
        </is>
      </c>
      <c r="C64" s="181">
        <f>E59</f>
        <v/>
      </c>
      <c r="D64" s="179" t="inlineStr"/>
      <c r="E64" s="179" t="inlineStr"/>
      <c r="F64" s="179" t="inlineStr"/>
      <c r="G64" s="179" t="inlineStr"/>
      <c r="H64" s="179" t="inlineStr"/>
      <c r="I64" s="179" t="inlineStr"/>
    </row>
    <row r="65" ht="22" customHeight="1">
      <c r="A65" s="179" t="inlineStr">
        <is>
          <t>Add: Other Additions (specify below)</t>
        </is>
      </c>
      <c r="B65" s="180" t="inlineStr">
        <is>
          <t>C</t>
        </is>
      </c>
      <c r="C65" s="181" t="n">
        <v>0</v>
      </c>
      <c r="D65" s="179" t="inlineStr"/>
      <c r="E65" s="179" t="inlineStr"/>
      <c r="F65" s="179" t="inlineStr"/>
      <c r="G65" s="179" t="inlineStr"/>
      <c r="H65" s="179" t="inlineStr"/>
      <c r="I65" s="179" t="inlineStr"/>
    </row>
    <row r="66" ht="22" customHeight="1">
      <c r="A66" s="179" t="inlineStr">
        <is>
          <t>Less: Depreciation as per Companies Act (add back)</t>
        </is>
      </c>
      <c r="B66" s="180" t="inlineStr">
        <is>
          <t>D</t>
        </is>
      </c>
      <c r="C66" s="181" t="n">
        <v>0</v>
      </c>
      <c r="D66" s="179" t="inlineStr"/>
      <c r="E66" s="179" t="inlineStr"/>
      <c r="F66" s="179" t="inlineStr"/>
      <c r="G66" s="179" t="inlineStr"/>
      <c r="H66" s="179" t="inlineStr"/>
      <c r="I66" s="179" t="inlineStr"/>
    </row>
    <row r="67" ht="22" customHeight="1">
      <c r="A67" s="179" t="inlineStr">
        <is>
          <t>Less: Depreciation as per Income Tax Act (Sec 32)</t>
        </is>
      </c>
      <c r="B67" s="180" t="inlineStr">
        <is>
          <t>E</t>
        </is>
      </c>
      <c r="C67" s="181" t="n">
        <v>0</v>
      </c>
      <c r="D67" s="179" t="inlineStr"/>
      <c r="E67" s="179" t="inlineStr"/>
      <c r="F67" s="179" t="inlineStr"/>
      <c r="G67" s="179" t="inlineStr"/>
      <c r="H67" s="179" t="inlineStr"/>
      <c r="I67" s="179" t="inlineStr"/>
    </row>
    <row r="68" ht="22" customHeight="1">
      <c r="A68" s="179" t="inlineStr">
        <is>
          <t>Less: Other Deductions (Sec 10AA / 80-IA / etc.)</t>
        </is>
      </c>
      <c r="B68" s="180" t="inlineStr">
        <is>
          <t>F</t>
        </is>
      </c>
      <c r="C68" s="181" t="n">
        <v>0</v>
      </c>
      <c r="D68" s="179" t="inlineStr"/>
      <c r="E68" s="179" t="inlineStr"/>
      <c r="F68" s="179" t="inlineStr"/>
      <c r="G68" s="179" t="inlineStr"/>
      <c r="H68" s="179" t="inlineStr"/>
      <c r="I68" s="179" t="inlineStr"/>
    </row>
    <row r="69" ht="22" customHeight="1">
      <c r="A69" s="179" t="inlineStr">
        <is>
          <t>Less: Unabsorbed Business Losses b/f (Sec 72)</t>
        </is>
      </c>
      <c r="B69" s="180" t="inlineStr">
        <is>
          <t>G</t>
        </is>
      </c>
      <c r="C69" s="181" t="n">
        <v>0</v>
      </c>
      <c r="D69" s="179" t="inlineStr"/>
      <c r="E69" s="179" t="inlineStr"/>
      <c r="F69" s="179" t="inlineStr"/>
      <c r="G69" s="179" t="inlineStr"/>
      <c r="H69" s="179" t="inlineStr"/>
      <c r="I69" s="179" t="inlineStr"/>
    </row>
    <row r="70" ht="22" customHeight="1">
      <c r="A70" s="179" t="inlineStr">
        <is>
          <t>Less: Unabsorbed Depreciation b/f (Sec 32(2))</t>
        </is>
      </c>
      <c r="B70" s="180" t="inlineStr">
        <is>
          <t>H</t>
        </is>
      </c>
      <c r="C70" s="181" t="n">
        <v>0</v>
      </c>
      <c r="D70" s="179" t="inlineStr"/>
      <c r="E70" s="179" t="inlineStr"/>
      <c r="F70" s="179" t="inlineStr"/>
      <c r="G70" s="179" t="inlineStr"/>
      <c r="H70" s="179" t="inlineStr"/>
      <c r="I70" s="179" t="inlineStr"/>
    </row>
    <row r="71" ht="22" customHeight="1">
      <c r="A71" s="182" t="inlineStr">
        <is>
          <t>Gross Total Income / (Loss)</t>
        </is>
      </c>
      <c r="B71" s="183" t="inlineStr">
        <is>
          <t>GTI</t>
        </is>
      </c>
      <c r="C71" s="147" t="n">
        <v>0</v>
      </c>
      <c r="D71" s="184" t="inlineStr"/>
      <c r="E71" s="184" t="inlineStr"/>
      <c r="F71" s="184" t="inlineStr"/>
      <c r="G71" s="184" t="inlineStr"/>
      <c r="H71" s="184" t="inlineStr"/>
      <c r="I71" s="184" t="inlineStr"/>
    </row>
    <row r="72" ht="22" customHeight="1">
      <c r="A72" s="179" t="inlineStr">
        <is>
          <t>Less: Chapter VI-A Deductions (80C to 80U)</t>
        </is>
      </c>
      <c r="B72" s="180" t="inlineStr">
        <is>
          <t>I</t>
        </is>
      </c>
      <c r="C72" s="181" t="n">
        <v>0</v>
      </c>
      <c r="D72" s="179" t="inlineStr"/>
      <c r="E72" s="179" t="inlineStr"/>
      <c r="F72" s="179" t="inlineStr"/>
      <c r="G72" s="179" t="inlineStr"/>
      <c r="H72" s="179" t="inlineStr"/>
      <c r="I72" s="179" t="inlineStr"/>
    </row>
    <row r="73" ht="22" customHeight="1">
      <c r="A73" s="182" t="inlineStr">
        <is>
          <t>Total Income (Taxable)</t>
        </is>
      </c>
      <c r="B73" s="183" t="inlineStr">
        <is>
          <t>TI</t>
        </is>
      </c>
      <c r="C73" s="147" t="n">
        <v>0</v>
      </c>
      <c r="D73" s="184" t="inlineStr"/>
      <c r="E73" s="184" t="inlineStr"/>
      <c r="F73" s="184" t="inlineStr"/>
      <c r="G73" s="184" t="inlineStr"/>
      <c r="H73" s="184" t="inlineStr"/>
      <c r="I73" s="184" t="inlineStr"/>
    </row>
    <row r="74" ht="22" customHeight="1">
      <c r="A74" s="179" t="inlineStr">
        <is>
          <t>Tax on Total Income (as applicable)</t>
        </is>
      </c>
      <c r="B74" s="180" t="inlineStr">
        <is>
          <t>TAX</t>
        </is>
      </c>
      <c r="C74" s="181" t="n">
        <v>0</v>
      </c>
      <c r="D74" s="179" t="inlineStr"/>
      <c r="E74" s="179" t="inlineStr"/>
      <c r="F74" s="179" t="inlineStr"/>
      <c r="G74" s="179" t="inlineStr"/>
      <c r="H74" s="179" t="inlineStr"/>
      <c r="I74" s="179" t="inlineStr"/>
    </row>
    <row r="75" ht="22" customHeight="1">
      <c r="A75" s="179" t="inlineStr">
        <is>
          <t>Add: Surcharge (if applicable)</t>
        </is>
      </c>
      <c r="B75" s="180" t="inlineStr">
        <is>
          <t>SC</t>
        </is>
      </c>
      <c r="C75" s="181" t="n">
        <v>0</v>
      </c>
      <c r="D75" s="179" t="inlineStr"/>
      <c r="E75" s="179" t="inlineStr"/>
      <c r="F75" s="179" t="inlineStr"/>
      <c r="G75" s="179" t="inlineStr"/>
      <c r="H75" s="179" t="inlineStr"/>
      <c r="I75" s="179" t="inlineStr"/>
    </row>
    <row r="76" ht="22" customHeight="1">
      <c r="A76" s="179" t="inlineStr">
        <is>
          <t>Add: Health &amp; Education Cess @ 4%</t>
        </is>
      </c>
      <c r="B76" s="180" t="inlineStr">
        <is>
          <t>CESS</t>
        </is>
      </c>
      <c r="C76" s="181" t="n">
        <v>0</v>
      </c>
      <c r="D76" s="179" t="inlineStr"/>
      <c r="E76" s="179" t="inlineStr"/>
      <c r="F76" s="179" t="inlineStr"/>
      <c r="G76" s="179" t="inlineStr"/>
      <c r="H76" s="179" t="inlineStr"/>
      <c r="I76" s="179" t="inlineStr"/>
    </row>
    <row r="77" ht="22" customHeight="1">
      <c r="A77" s="182" t="inlineStr">
        <is>
          <t>Total Tax Payable</t>
        </is>
      </c>
      <c r="B77" s="183" t="inlineStr">
        <is>
          <t>TOTAL</t>
        </is>
      </c>
      <c r="C77" s="147" t="n">
        <v>0</v>
      </c>
      <c r="D77" s="184" t="inlineStr"/>
      <c r="E77" s="184" t="inlineStr"/>
      <c r="F77" s="184" t="inlineStr"/>
      <c r="G77" s="184" t="inlineStr"/>
      <c r="H77" s="184" t="inlineStr"/>
      <c r="I77" s="184" t="inlineStr"/>
    </row>
    <row r="78" ht="22" customHeight="1">
      <c r="A78" s="179" t="inlineStr">
        <is>
          <t>Less: TDS / TCS / Advance Tax / MAT Credit</t>
        </is>
      </c>
      <c r="B78" s="180" t="inlineStr">
        <is>
          <t>PREPAID</t>
        </is>
      </c>
      <c r="C78" s="181" t="n">
        <v>0</v>
      </c>
      <c r="D78" s="179" t="inlineStr"/>
      <c r="E78" s="179" t="inlineStr"/>
      <c r="F78" s="179" t="inlineStr"/>
      <c r="G78" s="179" t="inlineStr"/>
      <c r="H78" s="179" t="inlineStr"/>
      <c r="I78" s="179" t="inlineStr"/>
    </row>
    <row r="79" ht="22" customHeight="1">
      <c r="A79" s="182" t="inlineStr">
        <is>
          <t>Net Tax Payable / (Refund Due)</t>
        </is>
      </c>
      <c r="B79" s="183" t="inlineStr">
        <is>
          <t>NET</t>
        </is>
      </c>
      <c r="C79" s="147" t="n">
        <v>0</v>
      </c>
      <c r="D79" s="184" t="inlineStr"/>
      <c r="E79" s="184" t="inlineStr"/>
      <c r="F79" s="184" t="inlineStr"/>
      <c r="G79" s="184" t="inlineStr"/>
      <c r="H79" s="184" t="inlineStr"/>
      <c r="I79" s="184" t="inlineStr"/>
    </row>
  </sheetData>
  <mergeCells count="16">
    <mergeCell ref="A2:I2"/>
    <mergeCell ref="A19:I19"/>
    <mergeCell ref="A51:I51"/>
    <mergeCell ref="A47:I47"/>
    <mergeCell ref="A5:I5"/>
    <mergeCell ref="A42:I42"/>
    <mergeCell ref="A13:I13"/>
    <mergeCell ref="A44:I44"/>
    <mergeCell ref="A1:I1"/>
    <mergeCell ref="A40:I40"/>
    <mergeCell ref="A59:D59"/>
    <mergeCell ref="A61:I61"/>
    <mergeCell ref="A22:I22"/>
    <mergeCell ref="A34:I34"/>
    <mergeCell ref="A30:I30"/>
    <mergeCell ref="A16:I16"/>
  </mergeCells>
  <dataValidations count="1">
    <dataValidation sqref="G5:G200" showDropDown="0" showInputMessage="0" showErrorMessage="0" allowBlank="1" type="list">
      <formula1>"Done ✅,In Progress 🔄,Pending ⏳,N/A ➖,Issue Found ⚠️"</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6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6" customWidth="1" min="3" max="3"/>
    <col width="16" customWidth="1" min="4" max="4"/>
    <col width="16" customWidth="1" min="5" max="5"/>
    <col width="30" customWidth="1" min="6" max="6"/>
    <col width="22" customWidth="1" min="7" max="7"/>
    <col width="9" customWidth="1" min="8" max="8"/>
    <col width="22" customWidth="1" min="9" max="9"/>
  </cols>
  <sheetData>
    <row r="1">
      <c r="A1" s="30" t="inlineStr">
        <is>
          <t>TRIAL BALANCE IMPORT &amp; SCHEDULE III GROUPING  |  FY 2025-26</t>
        </is>
      </c>
    </row>
    <row r="2">
      <c r="A2" s="31" t="inlineStr">
        <is>
          <t>Paste your Trial Balance. Assign each ledger to a Sch III group. Use AI Audit Assistant for risk analysis.</t>
        </is>
      </c>
    </row>
    <row r="4">
      <c r="A4" s="185" t="inlineStr">
        <is>
          <t>Ledger Name</t>
        </is>
      </c>
      <c r="B4" s="185" t="inlineStr">
        <is>
          <t>Ledger Code</t>
        </is>
      </c>
      <c r="C4" s="185" t="inlineStr">
        <is>
          <t>Debit (₹)</t>
        </is>
      </c>
      <c r="D4" s="185" t="inlineStr">
        <is>
          <t>Credit (₹)</t>
        </is>
      </c>
      <c r="E4" s="185" t="inlineStr">
        <is>
          <t>Net Balance (₹)</t>
        </is>
      </c>
      <c r="F4" s="185" t="inlineStr">
        <is>
          <t>Schedule III Group</t>
        </is>
      </c>
      <c r="G4" s="185" t="inlineStr">
        <is>
          <t>FS Head</t>
        </is>
      </c>
      <c r="H4" s="185" t="inlineStr">
        <is>
          <t>BS / PL</t>
        </is>
      </c>
      <c r="I4" s="185" t="inlineStr">
        <is>
          <t>Audit Flag</t>
        </is>
      </c>
    </row>
    <row r="5" ht="18" customHeight="1">
      <c r="A5" s="186" t="inlineStr"/>
      <c r="B5" s="187" t="inlineStr"/>
      <c r="C5" s="188" t="n">
        <v>0</v>
      </c>
      <c r="D5" s="188" t="n">
        <v>0</v>
      </c>
      <c r="E5" s="189">
        <f>C5-D5</f>
        <v/>
      </c>
      <c r="F5" s="190" t="inlineStr"/>
      <c r="G5" s="191" t="inlineStr"/>
      <c r="H5" s="187" t="inlineStr"/>
      <c r="I5" s="192" t="inlineStr"/>
    </row>
    <row r="6" ht="18" customHeight="1">
      <c r="A6" s="193" t="inlineStr"/>
      <c r="B6" s="194" t="inlineStr"/>
      <c r="C6" s="188" t="n">
        <v>0</v>
      </c>
      <c r="D6" s="188" t="n">
        <v>0</v>
      </c>
      <c r="E6" s="189">
        <f>C6-D6</f>
        <v/>
      </c>
      <c r="F6" s="190" t="inlineStr"/>
      <c r="G6" s="191" t="inlineStr"/>
      <c r="H6" s="187" t="inlineStr"/>
      <c r="I6" s="192" t="inlineStr"/>
    </row>
    <row r="7" ht="18" customHeight="1">
      <c r="A7" s="186" t="inlineStr"/>
      <c r="B7" s="187" t="inlineStr"/>
      <c r="C7" s="188" t="n">
        <v>0</v>
      </c>
      <c r="D7" s="188" t="n">
        <v>0</v>
      </c>
      <c r="E7" s="189">
        <f>C7-D7</f>
        <v/>
      </c>
      <c r="F7" s="190" t="inlineStr"/>
      <c r="G7" s="191" t="inlineStr"/>
      <c r="H7" s="187" t="inlineStr"/>
      <c r="I7" s="192" t="inlineStr"/>
    </row>
    <row r="8" ht="18" customHeight="1">
      <c r="A8" s="193" t="inlineStr"/>
      <c r="B8" s="194" t="inlineStr"/>
      <c r="C8" s="188" t="n">
        <v>0</v>
      </c>
      <c r="D8" s="188" t="n">
        <v>0</v>
      </c>
      <c r="E8" s="189">
        <f>C8-D8</f>
        <v/>
      </c>
      <c r="F8" s="190" t="inlineStr"/>
      <c r="G8" s="191" t="inlineStr"/>
      <c r="H8" s="187" t="inlineStr"/>
      <c r="I8" s="192" t="inlineStr"/>
    </row>
    <row r="9" ht="18" customHeight="1">
      <c r="A9" s="186" t="inlineStr"/>
      <c r="B9" s="187" t="inlineStr"/>
      <c r="C9" s="188" t="n">
        <v>0</v>
      </c>
      <c r="D9" s="188" t="n">
        <v>0</v>
      </c>
      <c r="E9" s="189">
        <f>C9-D9</f>
        <v/>
      </c>
      <c r="F9" s="190" t="inlineStr"/>
      <c r="G9" s="191" t="inlineStr"/>
      <c r="H9" s="187" t="inlineStr"/>
      <c r="I9" s="192" t="inlineStr"/>
    </row>
    <row r="10" ht="18" customHeight="1">
      <c r="A10" s="193" t="inlineStr"/>
      <c r="B10" s="194" t="inlineStr"/>
      <c r="C10" s="188" t="n">
        <v>0</v>
      </c>
      <c r="D10" s="188" t="n">
        <v>0</v>
      </c>
      <c r="E10" s="189">
        <f>C10-D10</f>
        <v/>
      </c>
      <c r="F10" s="190" t="inlineStr"/>
      <c r="G10" s="191" t="inlineStr"/>
      <c r="H10" s="187" t="inlineStr"/>
      <c r="I10" s="192" t="inlineStr"/>
    </row>
    <row r="11" ht="18" customHeight="1">
      <c r="A11" s="186" t="inlineStr"/>
      <c r="B11" s="187" t="inlineStr"/>
      <c r="C11" s="188" t="n">
        <v>0</v>
      </c>
      <c r="D11" s="188" t="n">
        <v>0</v>
      </c>
      <c r="E11" s="189">
        <f>C11-D11</f>
        <v/>
      </c>
      <c r="F11" s="190" t="inlineStr"/>
      <c r="G11" s="191" t="inlineStr"/>
      <c r="H11" s="187" t="inlineStr"/>
      <c r="I11" s="192" t="inlineStr"/>
    </row>
    <row r="12" ht="18" customHeight="1">
      <c r="A12" s="193" t="inlineStr"/>
      <c r="B12" s="194" t="inlineStr"/>
      <c r="C12" s="188" t="n">
        <v>0</v>
      </c>
      <c r="D12" s="188" t="n">
        <v>0</v>
      </c>
      <c r="E12" s="189">
        <f>C12-D12</f>
        <v/>
      </c>
      <c r="F12" s="190" t="inlineStr"/>
      <c r="G12" s="191" t="inlineStr"/>
      <c r="H12" s="187" t="inlineStr"/>
      <c r="I12" s="192" t="inlineStr"/>
    </row>
    <row r="13" ht="18" customHeight="1">
      <c r="A13" s="186" t="inlineStr"/>
      <c r="B13" s="187" t="inlineStr"/>
      <c r="C13" s="188" t="n">
        <v>0</v>
      </c>
      <c r="D13" s="188" t="n">
        <v>0</v>
      </c>
      <c r="E13" s="189">
        <f>C13-D13</f>
        <v/>
      </c>
      <c r="F13" s="190" t="inlineStr"/>
      <c r="G13" s="191" t="inlineStr"/>
      <c r="H13" s="187" t="inlineStr"/>
      <c r="I13" s="192" t="inlineStr"/>
    </row>
    <row r="14" ht="18" customHeight="1">
      <c r="A14" s="193" t="inlineStr"/>
      <c r="B14" s="194" t="inlineStr"/>
      <c r="C14" s="188" t="n">
        <v>0</v>
      </c>
      <c r="D14" s="188" t="n">
        <v>0</v>
      </c>
      <c r="E14" s="189">
        <f>C14-D14</f>
        <v/>
      </c>
      <c r="F14" s="190" t="inlineStr"/>
      <c r="G14" s="191" t="inlineStr"/>
      <c r="H14" s="187" t="inlineStr"/>
      <c r="I14" s="192" t="inlineStr"/>
    </row>
    <row r="15" ht="18" customHeight="1">
      <c r="A15" s="186" t="inlineStr"/>
      <c r="B15" s="187" t="inlineStr"/>
      <c r="C15" s="188" t="n">
        <v>0</v>
      </c>
      <c r="D15" s="188" t="n">
        <v>0</v>
      </c>
      <c r="E15" s="189">
        <f>C15-D15</f>
        <v/>
      </c>
      <c r="F15" s="190" t="inlineStr"/>
      <c r="G15" s="191" t="inlineStr"/>
      <c r="H15" s="187" t="inlineStr"/>
      <c r="I15" s="192" t="inlineStr"/>
    </row>
    <row r="16" ht="18" customHeight="1">
      <c r="A16" s="193" t="inlineStr"/>
      <c r="B16" s="194" t="inlineStr"/>
      <c r="C16" s="188" t="n">
        <v>0</v>
      </c>
      <c r="D16" s="188" t="n">
        <v>0</v>
      </c>
      <c r="E16" s="189">
        <f>C16-D16</f>
        <v/>
      </c>
      <c r="F16" s="190" t="inlineStr"/>
      <c r="G16" s="191" t="inlineStr"/>
      <c r="H16" s="187" t="inlineStr"/>
      <c r="I16" s="192" t="inlineStr"/>
    </row>
    <row r="17" ht="18" customHeight="1">
      <c r="A17" s="186" t="inlineStr"/>
      <c r="B17" s="187" t="inlineStr"/>
      <c r="C17" s="188" t="n">
        <v>0</v>
      </c>
      <c r="D17" s="188" t="n">
        <v>0</v>
      </c>
      <c r="E17" s="189">
        <f>C17-D17</f>
        <v/>
      </c>
      <c r="F17" s="190" t="inlineStr"/>
      <c r="G17" s="191" t="inlineStr"/>
      <c r="H17" s="187" t="inlineStr"/>
      <c r="I17" s="192" t="inlineStr"/>
    </row>
    <row r="18" ht="18" customHeight="1">
      <c r="A18" s="193" t="inlineStr"/>
      <c r="B18" s="194" t="inlineStr"/>
      <c r="C18" s="188" t="n">
        <v>0</v>
      </c>
      <c r="D18" s="188" t="n">
        <v>0</v>
      </c>
      <c r="E18" s="189">
        <f>C18-D18</f>
        <v/>
      </c>
      <c r="F18" s="190" t="inlineStr"/>
      <c r="G18" s="191" t="inlineStr"/>
      <c r="H18" s="187" t="inlineStr"/>
      <c r="I18" s="192" t="inlineStr"/>
    </row>
    <row r="19" ht="18" customHeight="1">
      <c r="A19" s="186" t="inlineStr"/>
      <c r="B19" s="187" t="inlineStr"/>
      <c r="C19" s="188" t="n">
        <v>0</v>
      </c>
      <c r="D19" s="188" t="n">
        <v>0</v>
      </c>
      <c r="E19" s="189">
        <f>C19-D19</f>
        <v/>
      </c>
      <c r="F19" s="190" t="inlineStr"/>
      <c r="G19" s="191" t="inlineStr"/>
      <c r="H19" s="187" t="inlineStr"/>
      <c r="I19" s="192" t="inlineStr"/>
    </row>
    <row r="20" ht="18" customHeight="1">
      <c r="A20" s="193" t="inlineStr"/>
      <c r="B20" s="194" t="inlineStr"/>
      <c r="C20" s="188" t="n">
        <v>0</v>
      </c>
      <c r="D20" s="188" t="n">
        <v>0</v>
      </c>
      <c r="E20" s="189">
        <f>C20-D20</f>
        <v/>
      </c>
      <c r="F20" s="190" t="inlineStr"/>
      <c r="G20" s="191" t="inlineStr"/>
      <c r="H20" s="187" t="inlineStr"/>
      <c r="I20" s="192" t="inlineStr"/>
    </row>
    <row r="21" ht="18" customHeight="1">
      <c r="A21" s="186" t="inlineStr"/>
      <c r="B21" s="187" t="inlineStr"/>
      <c r="C21" s="188" t="n">
        <v>0</v>
      </c>
      <c r="D21" s="188" t="n">
        <v>0</v>
      </c>
      <c r="E21" s="189">
        <f>C21-D21</f>
        <v/>
      </c>
      <c r="F21" s="190" t="inlineStr"/>
      <c r="G21" s="191" t="inlineStr"/>
      <c r="H21" s="187" t="inlineStr"/>
      <c r="I21" s="192" t="inlineStr"/>
    </row>
    <row r="22" ht="18" customHeight="1">
      <c r="A22" s="193" t="inlineStr"/>
      <c r="B22" s="194" t="inlineStr"/>
      <c r="C22" s="188" t="n">
        <v>0</v>
      </c>
      <c r="D22" s="188" t="n">
        <v>0</v>
      </c>
      <c r="E22" s="189">
        <f>C22-D22</f>
        <v/>
      </c>
      <c r="F22" s="190" t="inlineStr"/>
      <c r="G22" s="191" t="inlineStr"/>
      <c r="H22" s="187" t="inlineStr"/>
      <c r="I22" s="192" t="inlineStr"/>
    </row>
    <row r="23" ht="18" customHeight="1">
      <c r="A23" s="186" t="inlineStr"/>
      <c r="B23" s="187" t="inlineStr"/>
      <c r="C23" s="188" t="n">
        <v>0</v>
      </c>
      <c r="D23" s="188" t="n">
        <v>0</v>
      </c>
      <c r="E23" s="189">
        <f>C23-D23</f>
        <v/>
      </c>
      <c r="F23" s="190" t="inlineStr"/>
      <c r="G23" s="191" t="inlineStr"/>
      <c r="H23" s="187" t="inlineStr"/>
      <c r="I23" s="192" t="inlineStr"/>
    </row>
    <row r="24" ht="18" customHeight="1">
      <c r="A24" s="193" t="inlineStr"/>
      <c r="B24" s="194" t="inlineStr"/>
      <c r="C24" s="188" t="n">
        <v>0</v>
      </c>
      <c r="D24" s="188" t="n">
        <v>0</v>
      </c>
      <c r="E24" s="189">
        <f>C24-D24</f>
        <v/>
      </c>
      <c r="F24" s="190" t="inlineStr"/>
      <c r="G24" s="191" t="inlineStr"/>
      <c r="H24" s="187" t="inlineStr"/>
      <c r="I24" s="192" t="inlineStr"/>
    </row>
    <row r="25" ht="18" customHeight="1">
      <c r="A25" s="186" t="inlineStr"/>
      <c r="B25" s="187" t="inlineStr"/>
      <c r="C25" s="188" t="n">
        <v>0</v>
      </c>
      <c r="D25" s="188" t="n">
        <v>0</v>
      </c>
      <c r="E25" s="189">
        <f>C25-D25</f>
        <v/>
      </c>
      <c r="F25" s="190" t="inlineStr"/>
      <c r="G25" s="191" t="inlineStr"/>
      <c r="H25" s="187" t="inlineStr"/>
      <c r="I25" s="192" t="inlineStr"/>
    </row>
    <row r="26" ht="18" customHeight="1">
      <c r="A26" s="193" t="inlineStr"/>
      <c r="B26" s="194" t="inlineStr"/>
      <c r="C26" s="188" t="n">
        <v>0</v>
      </c>
      <c r="D26" s="188" t="n">
        <v>0</v>
      </c>
      <c r="E26" s="189">
        <f>C26-D26</f>
        <v/>
      </c>
      <c r="F26" s="190" t="inlineStr"/>
      <c r="G26" s="191" t="inlineStr"/>
      <c r="H26" s="187" t="inlineStr"/>
      <c r="I26" s="192" t="inlineStr"/>
    </row>
    <row r="27" ht="18" customHeight="1">
      <c r="A27" s="186" t="inlineStr"/>
      <c r="B27" s="187" t="inlineStr"/>
      <c r="C27" s="188" t="n">
        <v>0</v>
      </c>
      <c r="D27" s="188" t="n">
        <v>0</v>
      </c>
      <c r="E27" s="189">
        <f>C27-D27</f>
        <v/>
      </c>
      <c r="F27" s="190" t="inlineStr"/>
      <c r="G27" s="191" t="inlineStr"/>
      <c r="H27" s="187" t="inlineStr"/>
      <c r="I27" s="192" t="inlineStr"/>
    </row>
    <row r="28" ht="18" customHeight="1">
      <c r="A28" s="193" t="inlineStr"/>
      <c r="B28" s="194" t="inlineStr"/>
      <c r="C28" s="188" t="n">
        <v>0</v>
      </c>
      <c r="D28" s="188" t="n">
        <v>0</v>
      </c>
      <c r="E28" s="189">
        <f>C28-D28</f>
        <v/>
      </c>
      <c r="F28" s="190" t="inlineStr"/>
      <c r="G28" s="191" t="inlineStr"/>
      <c r="H28" s="187" t="inlineStr"/>
      <c r="I28" s="192" t="inlineStr"/>
    </row>
    <row r="29" ht="18" customHeight="1">
      <c r="A29" s="186" t="inlineStr"/>
      <c r="B29" s="187" t="inlineStr"/>
      <c r="C29" s="188" t="n">
        <v>0</v>
      </c>
      <c r="D29" s="188" t="n">
        <v>0</v>
      </c>
      <c r="E29" s="189">
        <f>C29-D29</f>
        <v/>
      </c>
      <c r="F29" s="190" t="inlineStr"/>
      <c r="G29" s="191" t="inlineStr"/>
      <c r="H29" s="187" t="inlineStr"/>
      <c r="I29" s="192" t="inlineStr"/>
    </row>
    <row r="30" ht="18" customHeight="1">
      <c r="A30" s="193" t="inlineStr"/>
      <c r="B30" s="194" t="inlineStr"/>
      <c r="C30" s="188" t="n">
        <v>0</v>
      </c>
      <c r="D30" s="188" t="n">
        <v>0</v>
      </c>
      <c r="E30" s="189">
        <f>C30-D30</f>
        <v/>
      </c>
      <c r="F30" s="190" t="inlineStr"/>
      <c r="G30" s="191" t="inlineStr"/>
      <c r="H30" s="187" t="inlineStr"/>
      <c r="I30" s="192" t="inlineStr"/>
    </row>
    <row r="31" ht="18" customHeight="1">
      <c r="A31" s="186" t="inlineStr"/>
      <c r="B31" s="187" t="inlineStr"/>
      <c r="C31" s="188" t="n">
        <v>0</v>
      </c>
      <c r="D31" s="188" t="n">
        <v>0</v>
      </c>
      <c r="E31" s="189">
        <f>C31-D31</f>
        <v/>
      </c>
      <c r="F31" s="190" t="inlineStr"/>
      <c r="G31" s="191" t="inlineStr"/>
      <c r="H31" s="187" t="inlineStr"/>
      <c r="I31" s="192" t="inlineStr"/>
    </row>
    <row r="32" ht="18" customHeight="1">
      <c r="A32" s="193" t="inlineStr"/>
      <c r="B32" s="194" t="inlineStr"/>
      <c r="C32" s="188" t="n">
        <v>0</v>
      </c>
      <c r="D32" s="188" t="n">
        <v>0</v>
      </c>
      <c r="E32" s="189">
        <f>C32-D32</f>
        <v/>
      </c>
      <c r="F32" s="190" t="inlineStr"/>
      <c r="G32" s="191" t="inlineStr"/>
      <c r="H32" s="187" t="inlineStr"/>
      <c r="I32" s="192" t="inlineStr"/>
    </row>
    <row r="33" ht="18" customHeight="1">
      <c r="A33" s="186" t="inlineStr"/>
      <c r="B33" s="187" t="inlineStr"/>
      <c r="C33" s="188" t="n">
        <v>0</v>
      </c>
      <c r="D33" s="188" t="n">
        <v>0</v>
      </c>
      <c r="E33" s="189">
        <f>C33-D33</f>
        <v/>
      </c>
      <c r="F33" s="190" t="inlineStr"/>
      <c r="G33" s="191" t="inlineStr"/>
      <c r="H33" s="187" t="inlineStr"/>
      <c r="I33" s="192" t="inlineStr"/>
    </row>
    <row r="34" ht="18" customHeight="1">
      <c r="A34" s="193" t="inlineStr"/>
      <c r="B34" s="194" t="inlineStr"/>
      <c r="C34" s="188" t="n">
        <v>0</v>
      </c>
      <c r="D34" s="188" t="n">
        <v>0</v>
      </c>
      <c r="E34" s="189">
        <f>C34-D34</f>
        <v/>
      </c>
      <c r="F34" s="190" t="inlineStr"/>
      <c r="G34" s="191" t="inlineStr"/>
      <c r="H34" s="187" t="inlineStr"/>
      <c r="I34" s="192" t="inlineStr"/>
    </row>
    <row r="35" ht="18" customHeight="1">
      <c r="A35" s="186" t="inlineStr"/>
      <c r="B35" s="187" t="inlineStr"/>
      <c r="C35" s="188" t="n">
        <v>0</v>
      </c>
      <c r="D35" s="188" t="n">
        <v>0</v>
      </c>
      <c r="E35" s="189">
        <f>C35-D35</f>
        <v/>
      </c>
      <c r="F35" s="190" t="inlineStr"/>
      <c r="G35" s="191" t="inlineStr"/>
      <c r="H35" s="187" t="inlineStr"/>
      <c r="I35" s="192" t="inlineStr"/>
    </row>
    <row r="36" ht="18" customHeight="1">
      <c r="A36" s="193" t="inlineStr"/>
      <c r="B36" s="194" t="inlineStr"/>
      <c r="C36" s="188" t="n">
        <v>0</v>
      </c>
      <c r="D36" s="188" t="n">
        <v>0</v>
      </c>
      <c r="E36" s="189">
        <f>C36-D36</f>
        <v/>
      </c>
      <c r="F36" s="190" t="inlineStr"/>
      <c r="G36" s="191" t="inlineStr"/>
      <c r="H36" s="187" t="inlineStr"/>
      <c r="I36" s="192" t="inlineStr"/>
    </row>
    <row r="37" ht="18" customHeight="1">
      <c r="A37" s="186" t="inlineStr"/>
      <c r="B37" s="187" t="inlineStr"/>
      <c r="C37" s="188" t="n">
        <v>0</v>
      </c>
      <c r="D37" s="188" t="n">
        <v>0</v>
      </c>
      <c r="E37" s="189">
        <f>C37-D37</f>
        <v/>
      </c>
      <c r="F37" s="190" t="inlineStr"/>
      <c r="G37" s="191" t="inlineStr"/>
      <c r="H37" s="187" t="inlineStr"/>
      <c r="I37" s="192" t="inlineStr"/>
    </row>
    <row r="38" ht="18" customHeight="1">
      <c r="A38" s="193" t="inlineStr"/>
      <c r="B38" s="194" t="inlineStr"/>
      <c r="C38" s="188" t="n">
        <v>0</v>
      </c>
      <c r="D38" s="188" t="n">
        <v>0</v>
      </c>
      <c r="E38" s="189">
        <f>C38-D38</f>
        <v/>
      </c>
      <c r="F38" s="190" t="inlineStr"/>
      <c r="G38" s="191" t="inlineStr"/>
      <c r="H38" s="187" t="inlineStr"/>
      <c r="I38" s="192" t="inlineStr"/>
    </row>
    <row r="39" ht="18" customHeight="1">
      <c r="A39" s="186" t="inlineStr"/>
      <c r="B39" s="187" t="inlineStr"/>
      <c r="C39" s="188" t="n">
        <v>0</v>
      </c>
      <c r="D39" s="188" t="n">
        <v>0</v>
      </c>
      <c r="E39" s="189">
        <f>C39-D39</f>
        <v/>
      </c>
      <c r="F39" s="190" t="inlineStr"/>
      <c r="G39" s="191" t="inlineStr"/>
      <c r="H39" s="187" t="inlineStr"/>
      <c r="I39" s="192" t="inlineStr"/>
    </row>
    <row r="40" ht="18" customHeight="1">
      <c r="A40" s="193" t="inlineStr"/>
      <c r="B40" s="194" t="inlineStr"/>
      <c r="C40" s="188" t="n">
        <v>0</v>
      </c>
      <c r="D40" s="188" t="n">
        <v>0</v>
      </c>
      <c r="E40" s="189">
        <f>C40-D40</f>
        <v/>
      </c>
      <c r="F40" s="190" t="inlineStr"/>
      <c r="G40" s="191" t="inlineStr"/>
      <c r="H40" s="187" t="inlineStr"/>
      <c r="I40" s="192" t="inlineStr"/>
    </row>
    <row r="41" ht="18" customHeight="1">
      <c r="A41" s="186" t="inlineStr"/>
      <c r="B41" s="187" t="inlineStr"/>
      <c r="C41" s="188" t="n">
        <v>0</v>
      </c>
      <c r="D41" s="188" t="n">
        <v>0</v>
      </c>
      <c r="E41" s="189">
        <f>C41-D41</f>
        <v/>
      </c>
      <c r="F41" s="190" t="inlineStr"/>
      <c r="G41" s="191" t="inlineStr"/>
      <c r="H41" s="187" t="inlineStr"/>
      <c r="I41" s="192" t="inlineStr"/>
    </row>
    <row r="42" ht="18" customHeight="1">
      <c r="A42" s="193" t="inlineStr"/>
      <c r="B42" s="194" t="inlineStr"/>
      <c r="C42" s="188" t="n">
        <v>0</v>
      </c>
      <c r="D42" s="188" t="n">
        <v>0</v>
      </c>
      <c r="E42" s="189">
        <f>C42-D42</f>
        <v/>
      </c>
      <c r="F42" s="190" t="inlineStr"/>
      <c r="G42" s="191" t="inlineStr"/>
      <c r="H42" s="187" t="inlineStr"/>
      <c r="I42" s="192" t="inlineStr"/>
    </row>
    <row r="43" ht="18" customHeight="1">
      <c r="A43" s="186" t="inlineStr"/>
      <c r="B43" s="187" t="inlineStr"/>
      <c r="C43" s="188" t="n">
        <v>0</v>
      </c>
      <c r="D43" s="188" t="n">
        <v>0</v>
      </c>
      <c r="E43" s="189">
        <f>C43-D43</f>
        <v/>
      </c>
      <c r="F43" s="190" t="inlineStr"/>
      <c r="G43" s="191" t="inlineStr"/>
      <c r="H43" s="187" t="inlineStr"/>
      <c r="I43" s="192" t="inlineStr"/>
    </row>
    <row r="44" ht="18" customHeight="1">
      <c r="A44" s="193" t="inlineStr"/>
      <c r="B44" s="194" t="inlineStr"/>
      <c r="C44" s="188" t="n">
        <v>0</v>
      </c>
      <c r="D44" s="188" t="n">
        <v>0</v>
      </c>
      <c r="E44" s="189">
        <f>C44-D44</f>
        <v/>
      </c>
      <c r="F44" s="190" t="inlineStr"/>
      <c r="G44" s="191" t="inlineStr"/>
      <c r="H44" s="187" t="inlineStr"/>
      <c r="I44" s="192" t="inlineStr"/>
    </row>
    <row r="45" ht="18" customHeight="1">
      <c r="A45" s="186" t="inlineStr"/>
      <c r="B45" s="187" t="inlineStr"/>
      <c r="C45" s="188" t="n">
        <v>0</v>
      </c>
      <c r="D45" s="188" t="n">
        <v>0</v>
      </c>
      <c r="E45" s="189">
        <f>C45-D45</f>
        <v/>
      </c>
      <c r="F45" s="190" t="inlineStr"/>
      <c r="G45" s="191" t="inlineStr"/>
      <c r="H45" s="187" t="inlineStr"/>
      <c r="I45" s="192" t="inlineStr"/>
    </row>
    <row r="46" ht="18" customHeight="1">
      <c r="A46" s="193" t="inlineStr"/>
      <c r="B46" s="194" t="inlineStr"/>
      <c r="C46" s="188" t="n">
        <v>0</v>
      </c>
      <c r="D46" s="188" t="n">
        <v>0</v>
      </c>
      <c r="E46" s="189">
        <f>C46-D46</f>
        <v/>
      </c>
      <c r="F46" s="190" t="inlineStr"/>
      <c r="G46" s="191" t="inlineStr"/>
      <c r="H46" s="187" t="inlineStr"/>
      <c r="I46" s="192" t="inlineStr"/>
    </row>
    <row r="47" ht="18" customHeight="1">
      <c r="A47" s="186" t="inlineStr"/>
      <c r="B47" s="187" t="inlineStr"/>
      <c r="C47" s="188" t="n">
        <v>0</v>
      </c>
      <c r="D47" s="188" t="n">
        <v>0</v>
      </c>
      <c r="E47" s="189">
        <f>C47-D47</f>
        <v/>
      </c>
      <c r="F47" s="190" t="inlineStr"/>
      <c r="G47" s="191" t="inlineStr"/>
      <c r="H47" s="187" t="inlineStr"/>
      <c r="I47" s="192" t="inlineStr"/>
    </row>
    <row r="48" ht="18" customHeight="1">
      <c r="A48" s="193" t="inlineStr"/>
      <c r="B48" s="194" t="inlineStr"/>
      <c r="C48" s="188" t="n">
        <v>0</v>
      </c>
      <c r="D48" s="188" t="n">
        <v>0</v>
      </c>
      <c r="E48" s="189">
        <f>C48-D48</f>
        <v/>
      </c>
      <c r="F48" s="190" t="inlineStr"/>
      <c r="G48" s="191" t="inlineStr"/>
      <c r="H48" s="187" t="inlineStr"/>
      <c r="I48" s="192" t="inlineStr"/>
    </row>
    <row r="49" ht="18" customHeight="1">
      <c r="A49" s="186" t="inlineStr"/>
      <c r="B49" s="187" t="inlineStr"/>
      <c r="C49" s="188" t="n">
        <v>0</v>
      </c>
      <c r="D49" s="188" t="n">
        <v>0</v>
      </c>
      <c r="E49" s="189">
        <f>C49-D49</f>
        <v/>
      </c>
      <c r="F49" s="190" t="inlineStr"/>
      <c r="G49" s="191" t="inlineStr"/>
      <c r="H49" s="187" t="inlineStr"/>
      <c r="I49" s="192" t="inlineStr"/>
    </row>
    <row r="50" ht="18" customHeight="1">
      <c r="A50" s="193" t="inlineStr"/>
      <c r="B50" s="194" t="inlineStr"/>
      <c r="C50" s="188" t="n">
        <v>0</v>
      </c>
      <c r="D50" s="188" t="n">
        <v>0</v>
      </c>
      <c r="E50" s="189">
        <f>C50-D50</f>
        <v/>
      </c>
      <c r="F50" s="190" t="inlineStr"/>
      <c r="G50" s="191" t="inlineStr"/>
      <c r="H50" s="187" t="inlineStr"/>
      <c r="I50" s="192" t="inlineStr"/>
    </row>
    <row r="51" ht="18" customHeight="1">
      <c r="A51" s="186" t="inlineStr"/>
      <c r="B51" s="187" t="inlineStr"/>
      <c r="C51" s="188" t="n">
        <v>0</v>
      </c>
      <c r="D51" s="188" t="n">
        <v>0</v>
      </c>
      <c r="E51" s="189">
        <f>C51-D51</f>
        <v/>
      </c>
      <c r="F51" s="190" t="inlineStr"/>
      <c r="G51" s="191" t="inlineStr"/>
      <c r="H51" s="187" t="inlineStr"/>
      <c r="I51" s="192" t="inlineStr"/>
    </row>
    <row r="52" ht="18" customHeight="1">
      <c r="A52" s="193" t="inlineStr"/>
      <c r="B52" s="194" t="inlineStr"/>
      <c r="C52" s="188" t="n">
        <v>0</v>
      </c>
      <c r="D52" s="188" t="n">
        <v>0</v>
      </c>
      <c r="E52" s="189">
        <f>C52-D52</f>
        <v/>
      </c>
      <c r="F52" s="190" t="inlineStr"/>
      <c r="G52" s="191" t="inlineStr"/>
      <c r="H52" s="187" t="inlineStr"/>
      <c r="I52" s="192" t="inlineStr"/>
    </row>
    <row r="53" ht="18" customHeight="1">
      <c r="A53" s="186" t="inlineStr"/>
      <c r="B53" s="187" t="inlineStr"/>
      <c r="C53" s="188" t="n">
        <v>0</v>
      </c>
      <c r="D53" s="188" t="n">
        <v>0</v>
      </c>
      <c r="E53" s="189">
        <f>C53-D53</f>
        <v/>
      </c>
      <c r="F53" s="190" t="inlineStr"/>
      <c r="G53" s="191" t="inlineStr"/>
      <c r="H53" s="187" t="inlineStr"/>
      <c r="I53" s="192" t="inlineStr"/>
    </row>
    <row r="54" ht="18" customHeight="1">
      <c r="A54" s="193" t="inlineStr"/>
      <c r="B54" s="194" t="inlineStr"/>
      <c r="C54" s="188" t="n">
        <v>0</v>
      </c>
      <c r="D54" s="188" t="n">
        <v>0</v>
      </c>
      <c r="E54" s="189">
        <f>C54-D54</f>
        <v/>
      </c>
      <c r="F54" s="190" t="inlineStr"/>
      <c r="G54" s="191" t="inlineStr"/>
      <c r="H54" s="187" t="inlineStr"/>
      <c r="I54" s="192" t="inlineStr"/>
    </row>
    <row r="55" ht="18" customHeight="1">
      <c r="A55" s="186" t="inlineStr"/>
      <c r="B55" s="187" t="inlineStr"/>
      <c r="C55" s="188" t="n">
        <v>0</v>
      </c>
      <c r="D55" s="188" t="n">
        <v>0</v>
      </c>
      <c r="E55" s="189">
        <f>C55-D55</f>
        <v/>
      </c>
      <c r="F55" s="190" t="inlineStr"/>
      <c r="G55" s="191" t="inlineStr"/>
      <c r="H55" s="187" t="inlineStr"/>
      <c r="I55" s="192" t="inlineStr"/>
    </row>
    <row r="56" ht="18" customHeight="1">
      <c r="A56" s="193" t="inlineStr"/>
      <c r="B56" s="194" t="inlineStr"/>
      <c r="C56" s="188" t="n">
        <v>0</v>
      </c>
      <c r="D56" s="188" t="n">
        <v>0</v>
      </c>
      <c r="E56" s="189">
        <f>C56-D56</f>
        <v/>
      </c>
      <c r="F56" s="190" t="inlineStr"/>
      <c r="G56" s="191" t="inlineStr"/>
      <c r="H56" s="187" t="inlineStr"/>
      <c r="I56" s="192" t="inlineStr"/>
    </row>
    <row r="57" ht="18" customHeight="1">
      <c r="A57" s="186" t="inlineStr"/>
      <c r="B57" s="187" t="inlineStr"/>
      <c r="C57" s="188" t="n">
        <v>0</v>
      </c>
      <c r="D57" s="188" t="n">
        <v>0</v>
      </c>
      <c r="E57" s="189">
        <f>C57-D57</f>
        <v/>
      </c>
      <c r="F57" s="190" t="inlineStr"/>
      <c r="G57" s="191" t="inlineStr"/>
      <c r="H57" s="187" t="inlineStr"/>
      <c r="I57" s="192" t="inlineStr"/>
    </row>
    <row r="58" ht="18" customHeight="1">
      <c r="A58" s="193" t="inlineStr"/>
      <c r="B58" s="194" t="inlineStr"/>
      <c r="C58" s="188" t="n">
        <v>0</v>
      </c>
      <c r="D58" s="188" t="n">
        <v>0</v>
      </c>
      <c r="E58" s="189">
        <f>C58-D58</f>
        <v/>
      </c>
      <c r="F58" s="190" t="inlineStr"/>
      <c r="G58" s="191" t="inlineStr"/>
      <c r="H58" s="187" t="inlineStr"/>
      <c r="I58" s="192" t="inlineStr"/>
    </row>
    <row r="59" ht="18" customHeight="1">
      <c r="A59" s="186" t="inlineStr"/>
      <c r="B59" s="187" t="inlineStr"/>
      <c r="C59" s="188" t="n">
        <v>0</v>
      </c>
      <c r="D59" s="188" t="n">
        <v>0</v>
      </c>
      <c r="E59" s="189">
        <f>C59-D59</f>
        <v/>
      </c>
      <c r="F59" s="190" t="inlineStr"/>
      <c r="G59" s="191" t="inlineStr"/>
      <c r="H59" s="187" t="inlineStr"/>
      <c r="I59" s="192" t="inlineStr"/>
    </row>
    <row r="60" ht="18" customHeight="1">
      <c r="A60" s="193" t="inlineStr"/>
      <c r="B60" s="194" t="inlineStr"/>
      <c r="C60" s="188" t="n">
        <v>0</v>
      </c>
      <c r="D60" s="188" t="n">
        <v>0</v>
      </c>
      <c r="E60" s="189">
        <f>C60-D60</f>
        <v/>
      </c>
      <c r="F60" s="190" t="inlineStr"/>
      <c r="G60" s="191" t="inlineStr"/>
      <c r="H60" s="187" t="inlineStr"/>
      <c r="I60" s="192" t="inlineStr"/>
    </row>
    <row r="61" ht="18" customHeight="1">
      <c r="A61" s="186" t="inlineStr"/>
      <c r="B61" s="187" t="inlineStr"/>
      <c r="C61" s="188" t="n">
        <v>0</v>
      </c>
      <c r="D61" s="188" t="n">
        <v>0</v>
      </c>
      <c r="E61" s="189">
        <f>C61-D61</f>
        <v/>
      </c>
      <c r="F61" s="190" t="inlineStr"/>
      <c r="G61" s="191" t="inlineStr"/>
      <c r="H61" s="187" t="inlineStr"/>
      <c r="I61" s="192" t="inlineStr"/>
    </row>
    <row r="62" ht="18" customHeight="1">
      <c r="A62" s="193" t="inlineStr"/>
      <c r="B62" s="194" t="inlineStr"/>
      <c r="C62" s="188" t="n">
        <v>0</v>
      </c>
      <c r="D62" s="188" t="n">
        <v>0</v>
      </c>
      <c r="E62" s="189">
        <f>C62-D62</f>
        <v/>
      </c>
      <c r="F62" s="190" t="inlineStr"/>
      <c r="G62" s="191" t="inlineStr"/>
      <c r="H62" s="187" t="inlineStr"/>
      <c r="I62" s="192" t="inlineStr"/>
    </row>
    <row r="63" ht="18" customHeight="1">
      <c r="A63" s="186" t="inlineStr"/>
      <c r="B63" s="187" t="inlineStr"/>
      <c r="C63" s="188" t="n">
        <v>0</v>
      </c>
      <c r="D63" s="188" t="n">
        <v>0</v>
      </c>
      <c r="E63" s="189">
        <f>C63-D63</f>
        <v/>
      </c>
      <c r="F63" s="190" t="inlineStr"/>
      <c r="G63" s="191" t="inlineStr"/>
      <c r="H63" s="187" t="inlineStr"/>
      <c r="I63" s="192" t="inlineStr"/>
    </row>
    <row r="64" ht="18" customHeight="1">
      <c r="A64" s="193" t="inlineStr"/>
      <c r="B64" s="194" t="inlineStr"/>
      <c r="C64" s="188" t="n">
        <v>0</v>
      </c>
      <c r="D64" s="188" t="n">
        <v>0</v>
      </c>
      <c r="E64" s="189">
        <f>C64-D64</f>
        <v/>
      </c>
      <c r="F64" s="190" t="inlineStr"/>
      <c r="G64" s="191" t="inlineStr"/>
      <c r="H64" s="187" t="inlineStr"/>
      <c r="I64" s="192" t="inlineStr"/>
    </row>
    <row r="65" ht="18" customHeight="1">
      <c r="A65" s="186" t="inlineStr"/>
      <c r="B65" s="187" t="inlineStr"/>
      <c r="C65" s="188" t="n">
        <v>0</v>
      </c>
      <c r="D65" s="188" t="n">
        <v>0</v>
      </c>
      <c r="E65" s="189">
        <f>C65-D65</f>
        <v/>
      </c>
      <c r="F65" s="190" t="inlineStr"/>
      <c r="G65" s="191" t="inlineStr"/>
      <c r="H65" s="187" t="inlineStr"/>
      <c r="I65" s="192" t="inlineStr"/>
    </row>
    <row r="66" ht="18" customHeight="1">
      <c r="A66" s="193" t="inlineStr"/>
      <c r="B66" s="194" t="inlineStr"/>
      <c r="C66" s="188" t="n">
        <v>0</v>
      </c>
      <c r="D66" s="188" t="n">
        <v>0</v>
      </c>
      <c r="E66" s="189">
        <f>C66-D66</f>
        <v/>
      </c>
      <c r="F66" s="190" t="inlineStr"/>
      <c r="G66" s="191" t="inlineStr"/>
      <c r="H66" s="187" t="inlineStr"/>
      <c r="I66" s="192" t="inlineStr"/>
    </row>
    <row r="67" ht="18" customHeight="1">
      <c r="A67" s="186" t="inlineStr"/>
      <c r="B67" s="187" t="inlineStr"/>
      <c r="C67" s="188" t="n">
        <v>0</v>
      </c>
      <c r="D67" s="188" t="n">
        <v>0</v>
      </c>
      <c r="E67" s="189">
        <f>C67-D67</f>
        <v/>
      </c>
      <c r="F67" s="190" t="inlineStr"/>
      <c r="G67" s="191" t="inlineStr"/>
      <c r="H67" s="187" t="inlineStr"/>
      <c r="I67" s="192" t="inlineStr"/>
    </row>
    <row r="68" ht="18" customHeight="1">
      <c r="A68" s="193" t="inlineStr"/>
      <c r="B68" s="194" t="inlineStr"/>
      <c r="C68" s="188" t="n">
        <v>0</v>
      </c>
      <c r="D68" s="188" t="n">
        <v>0</v>
      </c>
      <c r="E68" s="189">
        <f>C68-D68</f>
        <v/>
      </c>
      <c r="F68" s="190" t="inlineStr"/>
      <c r="G68" s="191" t="inlineStr"/>
      <c r="H68" s="187" t="inlineStr"/>
      <c r="I68" s="192" t="inlineStr"/>
    </row>
    <row r="69" ht="18" customHeight="1">
      <c r="A69" s="186" t="inlineStr"/>
      <c r="B69" s="187" t="inlineStr"/>
      <c r="C69" s="188" t="n">
        <v>0</v>
      </c>
      <c r="D69" s="188" t="n">
        <v>0</v>
      </c>
      <c r="E69" s="189">
        <f>C69-D69</f>
        <v/>
      </c>
      <c r="F69" s="190" t="inlineStr"/>
      <c r="G69" s="191" t="inlineStr"/>
      <c r="H69" s="187" t="inlineStr"/>
      <c r="I69" s="192" t="inlineStr"/>
    </row>
    <row r="70" ht="18" customHeight="1">
      <c r="A70" s="193" t="inlineStr"/>
      <c r="B70" s="194" t="inlineStr"/>
      <c r="C70" s="188" t="n">
        <v>0</v>
      </c>
      <c r="D70" s="188" t="n">
        <v>0</v>
      </c>
      <c r="E70" s="189">
        <f>C70-D70</f>
        <v/>
      </c>
      <c r="F70" s="190" t="inlineStr"/>
      <c r="G70" s="191" t="inlineStr"/>
      <c r="H70" s="187" t="inlineStr"/>
      <c r="I70" s="192" t="inlineStr"/>
    </row>
    <row r="71" ht="18" customHeight="1">
      <c r="A71" s="186" t="inlineStr"/>
      <c r="B71" s="187" t="inlineStr"/>
      <c r="C71" s="188" t="n">
        <v>0</v>
      </c>
      <c r="D71" s="188" t="n">
        <v>0</v>
      </c>
      <c r="E71" s="189">
        <f>C71-D71</f>
        <v/>
      </c>
      <c r="F71" s="190" t="inlineStr"/>
      <c r="G71" s="191" t="inlineStr"/>
      <c r="H71" s="187" t="inlineStr"/>
      <c r="I71" s="192" t="inlineStr"/>
    </row>
    <row r="72" ht="18" customHeight="1">
      <c r="A72" s="193" t="inlineStr"/>
      <c r="B72" s="194" t="inlineStr"/>
      <c r="C72" s="188" t="n">
        <v>0</v>
      </c>
      <c r="D72" s="188" t="n">
        <v>0</v>
      </c>
      <c r="E72" s="189">
        <f>C72-D72</f>
        <v/>
      </c>
      <c r="F72" s="190" t="inlineStr"/>
      <c r="G72" s="191" t="inlineStr"/>
      <c r="H72" s="187" t="inlineStr"/>
      <c r="I72" s="192" t="inlineStr"/>
    </row>
    <row r="73" ht="18" customHeight="1">
      <c r="A73" s="186" t="inlineStr"/>
      <c r="B73" s="187" t="inlineStr"/>
      <c r="C73" s="188" t="n">
        <v>0</v>
      </c>
      <c r="D73" s="188" t="n">
        <v>0</v>
      </c>
      <c r="E73" s="189">
        <f>C73-D73</f>
        <v/>
      </c>
      <c r="F73" s="190" t="inlineStr"/>
      <c r="G73" s="191" t="inlineStr"/>
      <c r="H73" s="187" t="inlineStr"/>
      <c r="I73" s="192" t="inlineStr"/>
    </row>
    <row r="74" ht="18" customHeight="1">
      <c r="A74" s="193" t="inlineStr"/>
      <c r="B74" s="194" t="inlineStr"/>
      <c r="C74" s="188" t="n">
        <v>0</v>
      </c>
      <c r="D74" s="188" t="n">
        <v>0</v>
      </c>
      <c r="E74" s="189">
        <f>C74-D74</f>
        <v/>
      </c>
      <c r="F74" s="190" t="inlineStr"/>
      <c r="G74" s="191" t="inlineStr"/>
      <c r="H74" s="187" t="inlineStr"/>
      <c r="I74" s="192" t="inlineStr"/>
    </row>
    <row r="75" ht="18" customHeight="1">
      <c r="A75" s="186" t="inlineStr"/>
      <c r="B75" s="187" t="inlineStr"/>
      <c r="C75" s="188" t="n">
        <v>0</v>
      </c>
      <c r="D75" s="188" t="n">
        <v>0</v>
      </c>
      <c r="E75" s="189">
        <f>C75-D75</f>
        <v/>
      </c>
      <c r="F75" s="190" t="inlineStr"/>
      <c r="G75" s="191" t="inlineStr"/>
      <c r="H75" s="187" t="inlineStr"/>
      <c r="I75" s="192" t="inlineStr"/>
    </row>
    <row r="76" ht="18" customHeight="1">
      <c r="A76" s="193" t="inlineStr"/>
      <c r="B76" s="194" t="inlineStr"/>
      <c r="C76" s="188" t="n">
        <v>0</v>
      </c>
      <c r="D76" s="188" t="n">
        <v>0</v>
      </c>
      <c r="E76" s="189">
        <f>C76-D76</f>
        <v/>
      </c>
      <c r="F76" s="190" t="inlineStr"/>
      <c r="G76" s="191" t="inlineStr"/>
      <c r="H76" s="187" t="inlineStr"/>
      <c r="I76" s="192" t="inlineStr"/>
    </row>
    <row r="77" ht="18" customHeight="1">
      <c r="A77" s="186" t="inlineStr"/>
      <c r="B77" s="187" t="inlineStr"/>
      <c r="C77" s="188" t="n">
        <v>0</v>
      </c>
      <c r="D77" s="188" t="n">
        <v>0</v>
      </c>
      <c r="E77" s="189">
        <f>C77-D77</f>
        <v/>
      </c>
      <c r="F77" s="190" t="inlineStr"/>
      <c r="G77" s="191" t="inlineStr"/>
      <c r="H77" s="187" t="inlineStr"/>
      <c r="I77" s="192" t="inlineStr"/>
    </row>
    <row r="78" ht="18" customHeight="1">
      <c r="A78" s="193" t="inlineStr"/>
      <c r="B78" s="194" t="inlineStr"/>
      <c r="C78" s="188" t="n">
        <v>0</v>
      </c>
      <c r="D78" s="188" t="n">
        <v>0</v>
      </c>
      <c r="E78" s="189">
        <f>C78-D78</f>
        <v/>
      </c>
      <c r="F78" s="190" t="inlineStr"/>
      <c r="G78" s="191" t="inlineStr"/>
      <c r="H78" s="187" t="inlineStr"/>
      <c r="I78" s="192" t="inlineStr"/>
    </row>
    <row r="79" ht="18" customHeight="1">
      <c r="A79" s="186" t="inlineStr"/>
      <c r="B79" s="187" t="inlineStr"/>
      <c r="C79" s="188" t="n">
        <v>0</v>
      </c>
      <c r="D79" s="188" t="n">
        <v>0</v>
      </c>
      <c r="E79" s="189">
        <f>C79-D79</f>
        <v/>
      </c>
      <c r="F79" s="190" t="inlineStr"/>
      <c r="G79" s="191" t="inlineStr"/>
      <c r="H79" s="187" t="inlineStr"/>
      <c r="I79" s="192" t="inlineStr"/>
    </row>
    <row r="80" ht="18" customHeight="1">
      <c r="A80" s="193" t="inlineStr"/>
      <c r="B80" s="194" t="inlineStr"/>
      <c r="C80" s="188" t="n">
        <v>0</v>
      </c>
      <c r="D80" s="188" t="n">
        <v>0</v>
      </c>
      <c r="E80" s="189">
        <f>C80-D80</f>
        <v/>
      </c>
      <c r="F80" s="190" t="inlineStr"/>
      <c r="G80" s="191" t="inlineStr"/>
      <c r="H80" s="187" t="inlineStr"/>
      <c r="I80" s="192" t="inlineStr"/>
    </row>
    <row r="81" ht="18" customHeight="1">
      <c r="A81" s="186" t="inlineStr"/>
      <c r="B81" s="187" t="inlineStr"/>
      <c r="C81" s="188" t="n">
        <v>0</v>
      </c>
      <c r="D81" s="188" t="n">
        <v>0</v>
      </c>
      <c r="E81" s="189">
        <f>C81-D81</f>
        <v/>
      </c>
      <c r="F81" s="190" t="inlineStr"/>
      <c r="G81" s="191" t="inlineStr"/>
      <c r="H81" s="187" t="inlineStr"/>
      <c r="I81" s="192" t="inlineStr"/>
    </row>
    <row r="82" ht="18" customHeight="1">
      <c r="A82" s="193" t="inlineStr"/>
      <c r="B82" s="194" t="inlineStr"/>
      <c r="C82" s="188" t="n">
        <v>0</v>
      </c>
      <c r="D82" s="188" t="n">
        <v>0</v>
      </c>
      <c r="E82" s="189">
        <f>C82-D82</f>
        <v/>
      </c>
      <c r="F82" s="190" t="inlineStr"/>
      <c r="G82" s="191" t="inlineStr"/>
      <c r="H82" s="187" t="inlineStr"/>
      <c r="I82" s="192" t="inlineStr"/>
    </row>
    <row r="83" ht="18" customHeight="1">
      <c r="A83" s="186" t="inlineStr"/>
      <c r="B83" s="187" t="inlineStr"/>
      <c r="C83" s="188" t="n">
        <v>0</v>
      </c>
      <c r="D83" s="188" t="n">
        <v>0</v>
      </c>
      <c r="E83" s="189">
        <f>C83-D83</f>
        <v/>
      </c>
      <c r="F83" s="190" t="inlineStr"/>
      <c r="G83" s="191" t="inlineStr"/>
      <c r="H83" s="187" t="inlineStr"/>
      <c r="I83" s="192" t="inlineStr"/>
    </row>
    <row r="84" ht="18" customHeight="1">
      <c r="A84" s="193" t="inlineStr"/>
      <c r="B84" s="194" t="inlineStr"/>
      <c r="C84" s="188" t="n">
        <v>0</v>
      </c>
      <c r="D84" s="188" t="n">
        <v>0</v>
      </c>
      <c r="E84" s="189">
        <f>C84-D84</f>
        <v/>
      </c>
      <c r="F84" s="190" t="inlineStr"/>
      <c r="G84" s="191" t="inlineStr"/>
      <c r="H84" s="187" t="inlineStr"/>
      <c r="I84" s="192" t="inlineStr"/>
    </row>
    <row r="85" ht="18" customHeight="1">
      <c r="A85" s="186" t="inlineStr"/>
      <c r="B85" s="187" t="inlineStr"/>
      <c r="C85" s="188" t="n">
        <v>0</v>
      </c>
      <c r="D85" s="188" t="n">
        <v>0</v>
      </c>
      <c r="E85" s="189">
        <f>C85-D85</f>
        <v/>
      </c>
      <c r="F85" s="190" t="inlineStr"/>
      <c r="G85" s="191" t="inlineStr"/>
      <c r="H85" s="187" t="inlineStr"/>
      <c r="I85" s="192" t="inlineStr"/>
    </row>
    <row r="86" ht="18" customHeight="1">
      <c r="A86" s="193" t="inlineStr"/>
      <c r="B86" s="194" t="inlineStr"/>
      <c r="C86" s="188" t="n">
        <v>0</v>
      </c>
      <c r="D86" s="188" t="n">
        <v>0</v>
      </c>
      <c r="E86" s="189">
        <f>C86-D86</f>
        <v/>
      </c>
      <c r="F86" s="190" t="inlineStr"/>
      <c r="G86" s="191" t="inlineStr"/>
      <c r="H86" s="187" t="inlineStr"/>
      <c r="I86" s="192" t="inlineStr"/>
    </row>
    <row r="87" ht="18" customHeight="1">
      <c r="A87" s="186" t="inlineStr"/>
      <c r="B87" s="187" t="inlineStr"/>
      <c r="C87" s="188" t="n">
        <v>0</v>
      </c>
      <c r="D87" s="188" t="n">
        <v>0</v>
      </c>
      <c r="E87" s="189">
        <f>C87-D87</f>
        <v/>
      </c>
      <c r="F87" s="190" t="inlineStr"/>
      <c r="G87" s="191" t="inlineStr"/>
      <c r="H87" s="187" t="inlineStr"/>
      <c r="I87" s="192" t="inlineStr"/>
    </row>
    <row r="88" ht="18" customHeight="1">
      <c r="A88" s="193" t="inlineStr"/>
      <c r="B88" s="194" t="inlineStr"/>
      <c r="C88" s="188" t="n">
        <v>0</v>
      </c>
      <c r="D88" s="188" t="n">
        <v>0</v>
      </c>
      <c r="E88" s="189">
        <f>C88-D88</f>
        <v/>
      </c>
      <c r="F88" s="190" t="inlineStr"/>
      <c r="G88" s="191" t="inlineStr"/>
      <c r="H88" s="187" t="inlineStr"/>
      <c r="I88" s="192" t="inlineStr"/>
    </row>
    <row r="89" ht="18" customHeight="1">
      <c r="A89" s="186" t="inlineStr"/>
      <c r="B89" s="187" t="inlineStr"/>
      <c r="C89" s="188" t="n">
        <v>0</v>
      </c>
      <c r="D89" s="188" t="n">
        <v>0</v>
      </c>
      <c r="E89" s="189">
        <f>C89-D89</f>
        <v/>
      </c>
      <c r="F89" s="190" t="inlineStr"/>
      <c r="G89" s="191" t="inlineStr"/>
      <c r="H89" s="187" t="inlineStr"/>
      <c r="I89" s="192" t="inlineStr"/>
    </row>
    <row r="90" ht="18" customHeight="1">
      <c r="A90" s="193" t="inlineStr"/>
      <c r="B90" s="194" t="inlineStr"/>
      <c r="C90" s="188" t="n">
        <v>0</v>
      </c>
      <c r="D90" s="188" t="n">
        <v>0</v>
      </c>
      <c r="E90" s="189">
        <f>C90-D90</f>
        <v/>
      </c>
      <c r="F90" s="190" t="inlineStr"/>
      <c r="G90" s="191" t="inlineStr"/>
      <c r="H90" s="187" t="inlineStr"/>
      <c r="I90" s="192" t="inlineStr"/>
    </row>
    <row r="91" ht="18" customHeight="1">
      <c r="A91" s="186" t="inlineStr"/>
      <c r="B91" s="187" t="inlineStr"/>
      <c r="C91" s="188" t="n">
        <v>0</v>
      </c>
      <c r="D91" s="188" t="n">
        <v>0</v>
      </c>
      <c r="E91" s="189">
        <f>C91-D91</f>
        <v/>
      </c>
      <c r="F91" s="190" t="inlineStr"/>
      <c r="G91" s="191" t="inlineStr"/>
      <c r="H91" s="187" t="inlineStr"/>
      <c r="I91" s="192" t="inlineStr"/>
    </row>
    <row r="92" ht="18" customHeight="1">
      <c r="A92" s="193" t="inlineStr"/>
      <c r="B92" s="194" t="inlineStr"/>
      <c r="C92" s="188" t="n">
        <v>0</v>
      </c>
      <c r="D92" s="188" t="n">
        <v>0</v>
      </c>
      <c r="E92" s="189">
        <f>C92-D92</f>
        <v/>
      </c>
      <c r="F92" s="190" t="inlineStr"/>
      <c r="G92" s="191" t="inlineStr"/>
      <c r="H92" s="187" t="inlineStr"/>
      <c r="I92" s="192" t="inlineStr"/>
    </row>
    <row r="93" ht="18" customHeight="1">
      <c r="A93" s="186" t="inlineStr"/>
      <c r="B93" s="187" t="inlineStr"/>
      <c r="C93" s="188" t="n">
        <v>0</v>
      </c>
      <c r="D93" s="188" t="n">
        <v>0</v>
      </c>
      <c r="E93" s="189">
        <f>C93-D93</f>
        <v/>
      </c>
      <c r="F93" s="190" t="inlineStr"/>
      <c r="G93" s="191" t="inlineStr"/>
      <c r="H93" s="187" t="inlineStr"/>
      <c r="I93" s="192" t="inlineStr"/>
    </row>
    <row r="94" ht="18" customHeight="1">
      <c r="A94" s="193" t="inlineStr"/>
      <c r="B94" s="194" t="inlineStr"/>
      <c r="C94" s="188" t="n">
        <v>0</v>
      </c>
      <c r="D94" s="188" t="n">
        <v>0</v>
      </c>
      <c r="E94" s="189">
        <f>C94-D94</f>
        <v/>
      </c>
      <c r="F94" s="190" t="inlineStr"/>
      <c r="G94" s="191" t="inlineStr"/>
      <c r="H94" s="187" t="inlineStr"/>
      <c r="I94" s="192" t="inlineStr"/>
    </row>
    <row r="95" ht="18" customHeight="1">
      <c r="A95" s="186" t="inlineStr"/>
      <c r="B95" s="187" t="inlineStr"/>
      <c r="C95" s="188" t="n">
        <v>0</v>
      </c>
      <c r="D95" s="188" t="n">
        <v>0</v>
      </c>
      <c r="E95" s="189">
        <f>C95-D95</f>
        <v/>
      </c>
      <c r="F95" s="190" t="inlineStr"/>
      <c r="G95" s="191" t="inlineStr"/>
      <c r="H95" s="187" t="inlineStr"/>
      <c r="I95" s="192" t="inlineStr"/>
    </row>
    <row r="96" ht="18" customHeight="1">
      <c r="A96" s="193" t="inlineStr"/>
      <c r="B96" s="194" t="inlineStr"/>
      <c r="C96" s="188" t="n">
        <v>0</v>
      </c>
      <c r="D96" s="188" t="n">
        <v>0</v>
      </c>
      <c r="E96" s="189">
        <f>C96-D96</f>
        <v/>
      </c>
      <c r="F96" s="190" t="inlineStr"/>
      <c r="G96" s="191" t="inlineStr"/>
      <c r="H96" s="187" t="inlineStr"/>
      <c r="I96" s="192" t="inlineStr"/>
    </row>
    <row r="97" ht="18" customHeight="1">
      <c r="A97" s="186" t="inlineStr"/>
      <c r="B97" s="187" t="inlineStr"/>
      <c r="C97" s="188" t="n">
        <v>0</v>
      </c>
      <c r="D97" s="188" t="n">
        <v>0</v>
      </c>
      <c r="E97" s="189">
        <f>C97-D97</f>
        <v/>
      </c>
      <c r="F97" s="190" t="inlineStr"/>
      <c r="G97" s="191" t="inlineStr"/>
      <c r="H97" s="187" t="inlineStr"/>
      <c r="I97" s="192" t="inlineStr"/>
    </row>
    <row r="98" ht="18" customHeight="1">
      <c r="A98" s="193" t="inlineStr"/>
      <c r="B98" s="194" t="inlineStr"/>
      <c r="C98" s="188" t="n">
        <v>0</v>
      </c>
      <c r="D98" s="188" t="n">
        <v>0</v>
      </c>
      <c r="E98" s="189">
        <f>C98-D98</f>
        <v/>
      </c>
      <c r="F98" s="190" t="inlineStr"/>
      <c r="G98" s="191" t="inlineStr"/>
      <c r="H98" s="187" t="inlineStr"/>
      <c r="I98" s="192" t="inlineStr"/>
    </row>
    <row r="99" ht="18" customHeight="1">
      <c r="A99" s="186" t="inlineStr"/>
      <c r="B99" s="187" t="inlineStr"/>
      <c r="C99" s="188" t="n">
        <v>0</v>
      </c>
      <c r="D99" s="188" t="n">
        <v>0</v>
      </c>
      <c r="E99" s="189">
        <f>C99-D99</f>
        <v/>
      </c>
      <c r="F99" s="190" t="inlineStr"/>
      <c r="G99" s="191" t="inlineStr"/>
      <c r="H99" s="187" t="inlineStr"/>
      <c r="I99" s="192" t="inlineStr"/>
    </row>
    <row r="100" ht="18" customHeight="1">
      <c r="A100" s="193" t="inlineStr"/>
      <c r="B100" s="194" t="inlineStr"/>
      <c r="C100" s="188" t="n">
        <v>0</v>
      </c>
      <c r="D100" s="188" t="n">
        <v>0</v>
      </c>
      <c r="E100" s="189">
        <f>C100-D100</f>
        <v/>
      </c>
      <c r="F100" s="190" t="inlineStr"/>
      <c r="G100" s="191" t="inlineStr"/>
      <c r="H100" s="187" t="inlineStr"/>
      <c r="I100" s="192" t="inlineStr"/>
    </row>
    <row r="101" ht="18" customHeight="1">
      <c r="A101" s="186" t="inlineStr"/>
      <c r="B101" s="187" t="inlineStr"/>
      <c r="C101" s="188" t="n">
        <v>0</v>
      </c>
      <c r="D101" s="188" t="n">
        <v>0</v>
      </c>
      <c r="E101" s="189">
        <f>C101-D101</f>
        <v/>
      </c>
      <c r="F101" s="190" t="inlineStr"/>
      <c r="G101" s="191" t="inlineStr"/>
      <c r="H101" s="187" t="inlineStr"/>
      <c r="I101" s="192" t="inlineStr"/>
    </row>
    <row r="102" ht="18" customHeight="1">
      <c r="A102" s="193" t="inlineStr"/>
      <c r="B102" s="194" t="inlineStr"/>
      <c r="C102" s="188" t="n">
        <v>0</v>
      </c>
      <c r="D102" s="188" t="n">
        <v>0</v>
      </c>
      <c r="E102" s="189">
        <f>C102-D102</f>
        <v/>
      </c>
      <c r="F102" s="190" t="inlineStr"/>
      <c r="G102" s="191" t="inlineStr"/>
      <c r="H102" s="187" t="inlineStr"/>
      <c r="I102" s="192" t="inlineStr"/>
    </row>
    <row r="103" ht="18" customHeight="1">
      <c r="A103" s="186" t="inlineStr"/>
      <c r="B103" s="187" t="inlineStr"/>
      <c r="C103" s="188" t="n">
        <v>0</v>
      </c>
      <c r="D103" s="188" t="n">
        <v>0</v>
      </c>
      <c r="E103" s="189">
        <f>C103-D103</f>
        <v/>
      </c>
      <c r="F103" s="190" t="inlineStr"/>
      <c r="G103" s="191" t="inlineStr"/>
      <c r="H103" s="187" t="inlineStr"/>
      <c r="I103" s="192" t="inlineStr"/>
    </row>
    <row r="104" ht="18" customHeight="1">
      <c r="A104" s="193" t="inlineStr"/>
      <c r="B104" s="194" t="inlineStr"/>
      <c r="C104" s="188" t="n">
        <v>0</v>
      </c>
      <c r="D104" s="188" t="n">
        <v>0</v>
      </c>
      <c r="E104" s="189">
        <f>C104-D104</f>
        <v/>
      </c>
      <c r="F104" s="190" t="inlineStr"/>
      <c r="G104" s="191" t="inlineStr"/>
      <c r="H104" s="187" t="inlineStr"/>
      <c r="I104" s="192" t="inlineStr"/>
    </row>
    <row r="105" ht="18" customHeight="1">
      <c r="A105" s="186" t="inlineStr"/>
      <c r="B105" s="187" t="inlineStr"/>
      <c r="C105" s="188" t="n">
        <v>0</v>
      </c>
      <c r="D105" s="188" t="n">
        <v>0</v>
      </c>
      <c r="E105" s="189">
        <f>C105-D105</f>
        <v/>
      </c>
      <c r="F105" s="190" t="inlineStr"/>
      <c r="G105" s="191" t="inlineStr"/>
      <c r="H105" s="187" t="inlineStr"/>
      <c r="I105" s="192" t="inlineStr"/>
    </row>
    <row r="106" ht="18" customHeight="1">
      <c r="A106" s="193" t="inlineStr"/>
      <c r="B106" s="194" t="inlineStr"/>
      <c r="C106" s="188" t="n">
        <v>0</v>
      </c>
      <c r="D106" s="188" t="n">
        <v>0</v>
      </c>
      <c r="E106" s="189">
        <f>C106-D106</f>
        <v/>
      </c>
      <c r="F106" s="190" t="inlineStr"/>
      <c r="G106" s="191" t="inlineStr"/>
      <c r="H106" s="187" t="inlineStr"/>
      <c r="I106" s="192" t="inlineStr"/>
    </row>
    <row r="107" ht="18" customHeight="1">
      <c r="A107" s="186" t="inlineStr"/>
      <c r="B107" s="187" t="inlineStr"/>
      <c r="C107" s="188" t="n">
        <v>0</v>
      </c>
      <c r="D107" s="188" t="n">
        <v>0</v>
      </c>
      <c r="E107" s="189">
        <f>C107-D107</f>
        <v/>
      </c>
      <c r="F107" s="190" t="inlineStr"/>
      <c r="G107" s="191" t="inlineStr"/>
      <c r="H107" s="187" t="inlineStr"/>
      <c r="I107" s="192" t="inlineStr"/>
    </row>
    <row r="108" ht="18" customHeight="1">
      <c r="A108" s="193" t="inlineStr"/>
      <c r="B108" s="194" t="inlineStr"/>
      <c r="C108" s="188" t="n">
        <v>0</v>
      </c>
      <c r="D108" s="188" t="n">
        <v>0</v>
      </c>
      <c r="E108" s="189">
        <f>C108-D108</f>
        <v/>
      </c>
      <c r="F108" s="190" t="inlineStr"/>
      <c r="G108" s="191" t="inlineStr"/>
      <c r="H108" s="187" t="inlineStr"/>
      <c r="I108" s="192" t="inlineStr"/>
    </row>
    <row r="109" ht="18" customHeight="1">
      <c r="A109" s="186" t="inlineStr"/>
      <c r="B109" s="187" t="inlineStr"/>
      <c r="C109" s="188" t="n">
        <v>0</v>
      </c>
      <c r="D109" s="188" t="n">
        <v>0</v>
      </c>
      <c r="E109" s="189">
        <f>C109-D109</f>
        <v/>
      </c>
      <c r="F109" s="190" t="inlineStr"/>
      <c r="G109" s="191" t="inlineStr"/>
      <c r="H109" s="187" t="inlineStr"/>
      <c r="I109" s="192" t="inlineStr"/>
    </row>
    <row r="110" ht="18" customHeight="1">
      <c r="A110" s="193" t="inlineStr"/>
      <c r="B110" s="194" t="inlineStr"/>
      <c r="C110" s="188" t="n">
        <v>0</v>
      </c>
      <c r="D110" s="188" t="n">
        <v>0</v>
      </c>
      <c r="E110" s="189">
        <f>C110-D110</f>
        <v/>
      </c>
      <c r="F110" s="190" t="inlineStr"/>
      <c r="G110" s="191" t="inlineStr"/>
      <c r="H110" s="187" t="inlineStr"/>
      <c r="I110" s="192" t="inlineStr"/>
    </row>
    <row r="111" ht="18" customHeight="1">
      <c r="A111" s="186" t="inlineStr"/>
      <c r="B111" s="187" t="inlineStr"/>
      <c r="C111" s="188" t="n">
        <v>0</v>
      </c>
      <c r="D111" s="188" t="n">
        <v>0</v>
      </c>
      <c r="E111" s="189">
        <f>C111-D111</f>
        <v/>
      </c>
      <c r="F111" s="190" t="inlineStr"/>
      <c r="G111" s="191" t="inlineStr"/>
      <c r="H111" s="187" t="inlineStr"/>
      <c r="I111" s="192" t="inlineStr"/>
    </row>
    <row r="112" ht="18" customHeight="1">
      <c r="A112" s="193" t="inlineStr"/>
      <c r="B112" s="194" t="inlineStr"/>
      <c r="C112" s="188" t="n">
        <v>0</v>
      </c>
      <c r="D112" s="188" t="n">
        <v>0</v>
      </c>
      <c r="E112" s="189">
        <f>C112-D112</f>
        <v/>
      </c>
      <c r="F112" s="190" t="inlineStr"/>
      <c r="G112" s="191" t="inlineStr"/>
      <c r="H112" s="187" t="inlineStr"/>
      <c r="I112" s="192" t="inlineStr"/>
    </row>
    <row r="113" ht="18" customHeight="1">
      <c r="A113" s="186" t="inlineStr"/>
      <c r="B113" s="187" t="inlineStr"/>
      <c r="C113" s="188" t="n">
        <v>0</v>
      </c>
      <c r="D113" s="188" t="n">
        <v>0</v>
      </c>
      <c r="E113" s="189">
        <f>C113-D113</f>
        <v/>
      </c>
      <c r="F113" s="190" t="inlineStr"/>
      <c r="G113" s="191" t="inlineStr"/>
      <c r="H113" s="187" t="inlineStr"/>
      <c r="I113" s="192" t="inlineStr"/>
    </row>
    <row r="114" ht="18" customHeight="1">
      <c r="A114" s="193" t="inlineStr"/>
      <c r="B114" s="194" t="inlineStr"/>
      <c r="C114" s="188" t="n">
        <v>0</v>
      </c>
      <c r="D114" s="188" t="n">
        <v>0</v>
      </c>
      <c r="E114" s="189">
        <f>C114-D114</f>
        <v/>
      </c>
      <c r="F114" s="190" t="inlineStr"/>
      <c r="G114" s="191" t="inlineStr"/>
      <c r="H114" s="187" t="inlineStr"/>
      <c r="I114" s="192" t="inlineStr"/>
    </row>
    <row r="115" ht="18" customHeight="1">
      <c r="A115" s="186" t="inlineStr"/>
      <c r="B115" s="187" t="inlineStr"/>
      <c r="C115" s="188" t="n">
        <v>0</v>
      </c>
      <c r="D115" s="188" t="n">
        <v>0</v>
      </c>
      <c r="E115" s="189">
        <f>C115-D115</f>
        <v/>
      </c>
      <c r="F115" s="190" t="inlineStr"/>
      <c r="G115" s="191" t="inlineStr"/>
      <c r="H115" s="187" t="inlineStr"/>
      <c r="I115" s="192" t="inlineStr"/>
    </row>
    <row r="116" ht="18" customHeight="1">
      <c r="A116" s="193" t="inlineStr"/>
      <c r="B116" s="194" t="inlineStr"/>
      <c r="C116" s="188" t="n">
        <v>0</v>
      </c>
      <c r="D116" s="188" t="n">
        <v>0</v>
      </c>
      <c r="E116" s="189">
        <f>C116-D116</f>
        <v/>
      </c>
      <c r="F116" s="190" t="inlineStr"/>
      <c r="G116" s="191" t="inlineStr"/>
      <c r="H116" s="187" t="inlineStr"/>
      <c r="I116" s="192" t="inlineStr"/>
    </row>
    <row r="117" ht="18" customHeight="1">
      <c r="A117" s="186" t="inlineStr"/>
      <c r="B117" s="187" t="inlineStr"/>
      <c r="C117" s="188" t="n">
        <v>0</v>
      </c>
      <c r="D117" s="188" t="n">
        <v>0</v>
      </c>
      <c r="E117" s="189">
        <f>C117-D117</f>
        <v/>
      </c>
      <c r="F117" s="190" t="inlineStr"/>
      <c r="G117" s="191" t="inlineStr"/>
      <c r="H117" s="187" t="inlineStr"/>
      <c r="I117" s="192" t="inlineStr"/>
    </row>
    <row r="118" ht="18" customHeight="1">
      <c r="A118" s="193" t="inlineStr"/>
      <c r="B118" s="194" t="inlineStr"/>
      <c r="C118" s="188" t="n">
        <v>0</v>
      </c>
      <c r="D118" s="188" t="n">
        <v>0</v>
      </c>
      <c r="E118" s="189">
        <f>C118-D118</f>
        <v/>
      </c>
      <c r="F118" s="190" t="inlineStr"/>
      <c r="G118" s="191" t="inlineStr"/>
      <c r="H118" s="187" t="inlineStr"/>
      <c r="I118" s="192" t="inlineStr"/>
    </row>
    <row r="119" ht="18" customHeight="1">
      <c r="A119" s="186" t="inlineStr"/>
      <c r="B119" s="187" t="inlineStr"/>
      <c r="C119" s="188" t="n">
        <v>0</v>
      </c>
      <c r="D119" s="188" t="n">
        <v>0</v>
      </c>
      <c r="E119" s="189">
        <f>C119-D119</f>
        <v/>
      </c>
      <c r="F119" s="190" t="inlineStr"/>
      <c r="G119" s="191" t="inlineStr"/>
      <c r="H119" s="187" t="inlineStr"/>
      <c r="I119" s="192" t="inlineStr"/>
    </row>
    <row r="120" ht="18" customHeight="1">
      <c r="A120" s="193" t="inlineStr"/>
      <c r="B120" s="194" t="inlineStr"/>
      <c r="C120" s="188" t="n">
        <v>0</v>
      </c>
      <c r="D120" s="188" t="n">
        <v>0</v>
      </c>
      <c r="E120" s="189">
        <f>C120-D120</f>
        <v/>
      </c>
      <c r="F120" s="190" t="inlineStr"/>
      <c r="G120" s="191" t="inlineStr"/>
      <c r="H120" s="187" t="inlineStr"/>
      <c r="I120" s="192" t="inlineStr"/>
    </row>
    <row r="121" ht="18" customHeight="1">
      <c r="A121" s="186" t="inlineStr"/>
      <c r="B121" s="187" t="inlineStr"/>
      <c r="C121" s="188" t="n">
        <v>0</v>
      </c>
      <c r="D121" s="188" t="n">
        <v>0</v>
      </c>
      <c r="E121" s="189">
        <f>C121-D121</f>
        <v/>
      </c>
      <c r="F121" s="190" t="inlineStr"/>
      <c r="G121" s="191" t="inlineStr"/>
      <c r="H121" s="187" t="inlineStr"/>
      <c r="I121" s="192" t="inlineStr"/>
    </row>
    <row r="122" ht="18" customHeight="1">
      <c r="A122" s="193" t="inlineStr"/>
      <c r="B122" s="194" t="inlineStr"/>
      <c r="C122" s="188" t="n">
        <v>0</v>
      </c>
      <c r="D122" s="188" t="n">
        <v>0</v>
      </c>
      <c r="E122" s="189">
        <f>C122-D122</f>
        <v/>
      </c>
      <c r="F122" s="190" t="inlineStr"/>
      <c r="G122" s="191" t="inlineStr"/>
      <c r="H122" s="187" t="inlineStr"/>
      <c r="I122" s="192" t="inlineStr"/>
    </row>
    <row r="123" ht="18" customHeight="1">
      <c r="A123" s="186" t="inlineStr"/>
      <c r="B123" s="187" t="inlineStr"/>
      <c r="C123" s="188" t="n">
        <v>0</v>
      </c>
      <c r="D123" s="188" t="n">
        <v>0</v>
      </c>
      <c r="E123" s="189">
        <f>C123-D123</f>
        <v/>
      </c>
      <c r="F123" s="190" t="inlineStr"/>
      <c r="G123" s="191" t="inlineStr"/>
      <c r="H123" s="187" t="inlineStr"/>
      <c r="I123" s="192" t="inlineStr"/>
    </row>
    <row r="124" ht="18" customHeight="1">
      <c r="A124" s="193" t="inlineStr"/>
      <c r="B124" s="194" t="inlineStr"/>
      <c r="C124" s="188" t="n">
        <v>0</v>
      </c>
      <c r="D124" s="188" t="n">
        <v>0</v>
      </c>
      <c r="E124" s="189">
        <f>C124-D124</f>
        <v/>
      </c>
      <c r="F124" s="190" t="inlineStr"/>
      <c r="G124" s="191" t="inlineStr"/>
      <c r="H124" s="187" t="inlineStr"/>
      <c r="I124" s="192" t="inlineStr"/>
    </row>
    <row r="125" ht="18" customHeight="1">
      <c r="A125" s="186" t="inlineStr"/>
      <c r="B125" s="187" t="inlineStr"/>
      <c r="C125" s="188" t="n">
        <v>0</v>
      </c>
      <c r="D125" s="188" t="n">
        <v>0</v>
      </c>
      <c r="E125" s="189">
        <f>C125-D125</f>
        <v/>
      </c>
      <c r="F125" s="190" t="inlineStr"/>
      <c r="G125" s="191" t="inlineStr"/>
      <c r="H125" s="187" t="inlineStr"/>
      <c r="I125" s="192" t="inlineStr"/>
    </row>
    <row r="126" ht="18" customHeight="1">
      <c r="A126" s="193" t="inlineStr"/>
      <c r="B126" s="194" t="inlineStr"/>
      <c r="C126" s="188" t="n">
        <v>0</v>
      </c>
      <c r="D126" s="188" t="n">
        <v>0</v>
      </c>
      <c r="E126" s="189">
        <f>C126-D126</f>
        <v/>
      </c>
      <c r="F126" s="190" t="inlineStr"/>
      <c r="G126" s="191" t="inlineStr"/>
      <c r="H126" s="187" t="inlineStr"/>
      <c r="I126" s="192" t="inlineStr"/>
    </row>
    <row r="127" ht="18" customHeight="1">
      <c r="A127" s="186" t="inlineStr"/>
      <c r="B127" s="187" t="inlineStr"/>
      <c r="C127" s="188" t="n">
        <v>0</v>
      </c>
      <c r="D127" s="188" t="n">
        <v>0</v>
      </c>
      <c r="E127" s="189">
        <f>C127-D127</f>
        <v/>
      </c>
      <c r="F127" s="190" t="inlineStr"/>
      <c r="G127" s="191" t="inlineStr"/>
      <c r="H127" s="187" t="inlineStr"/>
      <c r="I127" s="192" t="inlineStr"/>
    </row>
    <row r="128" ht="18" customHeight="1">
      <c r="A128" s="193" t="inlineStr"/>
      <c r="B128" s="194" t="inlineStr"/>
      <c r="C128" s="188" t="n">
        <v>0</v>
      </c>
      <c r="D128" s="188" t="n">
        <v>0</v>
      </c>
      <c r="E128" s="189">
        <f>C128-D128</f>
        <v/>
      </c>
      <c r="F128" s="190" t="inlineStr"/>
      <c r="G128" s="191" t="inlineStr"/>
      <c r="H128" s="187" t="inlineStr"/>
      <c r="I128" s="192" t="inlineStr"/>
    </row>
    <row r="129" ht="18" customHeight="1">
      <c r="A129" s="186" t="inlineStr"/>
      <c r="B129" s="187" t="inlineStr"/>
      <c r="C129" s="188" t="n">
        <v>0</v>
      </c>
      <c r="D129" s="188" t="n">
        <v>0</v>
      </c>
      <c r="E129" s="189">
        <f>C129-D129</f>
        <v/>
      </c>
      <c r="F129" s="190" t="inlineStr"/>
      <c r="G129" s="191" t="inlineStr"/>
      <c r="H129" s="187" t="inlineStr"/>
      <c r="I129" s="192" t="inlineStr"/>
    </row>
    <row r="130" ht="18" customHeight="1">
      <c r="A130" s="193" t="inlineStr"/>
      <c r="B130" s="194" t="inlineStr"/>
      <c r="C130" s="188" t="n">
        <v>0</v>
      </c>
      <c r="D130" s="188" t="n">
        <v>0</v>
      </c>
      <c r="E130" s="189">
        <f>C130-D130</f>
        <v/>
      </c>
      <c r="F130" s="190" t="inlineStr"/>
      <c r="G130" s="191" t="inlineStr"/>
      <c r="H130" s="187" t="inlineStr"/>
      <c r="I130" s="192" t="inlineStr"/>
    </row>
    <row r="131" ht="18" customHeight="1">
      <c r="A131" s="186" t="inlineStr"/>
      <c r="B131" s="187" t="inlineStr"/>
      <c r="C131" s="188" t="n">
        <v>0</v>
      </c>
      <c r="D131" s="188" t="n">
        <v>0</v>
      </c>
      <c r="E131" s="189">
        <f>C131-D131</f>
        <v/>
      </c>
      <c r="F131" s="190" t="inlineStr"/>
      <c r="G131" s="191" t="inlineStr"/>
      <c r="H131" s="187" t="inlineStr"/>
      <c r="I131" s="192" t="inlineStr"/>
    </row>
    <row r="132" ht="18" customHeight="1">
      <c r="A132" s="193" t="inlineStr"/>
      <c r="B132" s="194" t="inlineStr"/>
      <c r="C132" s="188" t="n">
        <v>0</v>
      </c>
      <c r="D132" s="188" t="n">
        <v>0</v>
      </c>
      <c r="E132" s="189">
        <f>C132-D132</f>
        <v/>
      </c>
      <c r="F132" s="190" t="inlineStr"/>
      <c r="G132" s="191" t="inlineStr"/>
      <c r="H132" s="187" t="inlineStr"/>
      <c r="I132" s="192" t="inlineStr"/>
    </row>
    <row r="133" ht="18" customHeight="1">
      <c r="A133" s="186" t="inlineStr"/>
      <c r="B133" s="187" t="inlineStr"/>
      <c r="C133" s="188" t="n">
        <v>0</v>
      </c>
      <c r="D133" s="188" t="n">
        <v>0</v>
      </c>
      <c r="E133" s="189">
        <f>C133-D133</f>
        <v/>
      </c>
      <c r="F133" s="190" t="inlineStr"/>
      <c r="G133" s="191" t="inlineStr"/>
      <c r="H133" s="187" t="inlineStr"/>
      <c r="I133" s="192" t="inlineStr"/>
    </row>
    <row r="134" ht="18" customHeight="1">
      <c r="A134" s="193" t="inlineStr"/>
      <c r="B134" s="194" t="inlineStr"/>
      <c r="C134" s="188" t="n">
        <v>0</v>
      </c>
      <c r="D134" s="188" t="n">
        <v>0</v>
      </c>
      <c r="E134" s="189">
        <f>C134-D134</f>
        <v/>
      </c>
      <c r="F134" s="190" t="inlineStr"/>
      <c r="G134" s="191" t="inlineStr"/>
      <c r="H134" s="187" t="inlineStr"/>
      <c r="I134" s="192" t="inlineStr"/>
    </row>
    <row r="135" ht="18" customHeight="1">
      <c r="A135" s="186" t="inlineStr"/>
      <c r="B135" s="187" t="inlineStr"/>
      <c r="C135" s="188" t="n">
        <v>0</v>
      </c>
      <c r="D135" s="188" t="n">
        <v>0</v>
      </c>
      <c r="E135" s="189">
        <f>C135-D135</f>
        <v/>
      </c>
      <c r="F135" s="190" t="inlineStr"/>
      <c r="G135" s="191" t="inlineStr"/>
      <c r="H135" s="187" t="inlineStr"/>
      <c r="I135" s="192" t="inlineStr"/>
    </row>
    <row r="136" ht="18" customHeight="1">
      <c r="A136" s="193" t="inlineStr"/>
      <c r="B136" s="194" t="inlineStr"/>
      <c r="C136" s="188" t="n">
        <v>0</v>
      </c>
      <c r="D136" s="188" t="n">
        <v>0</v>
      </c>
      <c r="E136" s="189">
        <f>C136-D136</f>
        <v/>
      </c>
      <c r="F136" s="190" t="inlineStr"/>
      <c r="G136" s="191" t="inlineStr"/>
      <c r="H136" s="187" t="inlineStr"/>
      <c r="I136" s="192" t="inlineStr"/>
    </row>
    <row r="137" ht="18" customHeight="1">
      <c r="A137" s="186" t="inlineStr"/>
      <c r="B137" s="187" t="inlineStr"/>
      <c r="C137" s="188" t="n">
        <v>0</v>
      </c>
      <c r="D137" s="188" t="n">
        <v>0</v>
      </c>
      <c r="E137" s="189">
        <f>C137-D137</f>
        <v/>
      </c>
      <c r="F137" s="190" t="inlineStr"/>
      <c r="G137" s="191" t="inlineStr"/>
      <c r="H137" s="187" t="inlineStr"/>
      <c r="I137" s="192" t="inlineStr"/>
    </row>
    <row r="138" ht="18" customHeight="1">
      <c r="A138" s="193" t="inlineStr"/>
      <c r="B138" s="194" t="inlineStr"/>
      <c r="C138" s="188" t="n">
        <v>0</v>
      </c>
      <c r="D138" s="188" t="n">
        <v>0</v>
      </c>
      <c r="E138" s="189">
        <f>C138-D138</f>
        <v/>
      </c>
      <c r="F138" s="190" t="inlineStr"/>
      <c r="G138" s="191" t="inlineStr"/>
      <c r="H138" s="187" t="inlineStr"/>
      <c r="I138" s="192" t="inlineStr"/>
    </row>
    <row r="139" ht="18" customHeight="1">
      <c r="A139" s="186" t="inlineStr"/>
      <c r="B139" s="187" t="inlineStr"/>
      <c r="C139" s="188" t="n">
        <v>0</v>
      </c>
      <c r="D139" s="188" t="n">
        <v>0</v>
      </c>
      <c r="E139" s="189">
        <f>C139-D139</f>
        <v/>
      </c>
      <c r="F139" s="190" t="inlineStr"/>
      <c r="G139" s="191" t="inlineStr"/>
      <c r="H139" s="187" t="inlineStr"/>
      <c r="I139" s="192" t="inlineStr"/>
    </row>
    <row r="140" ht="18" customHeight="1">
      <c r="A140" s="193" t="inlineStr"/>
      <c r="B140" s="194" t="inlineStr"/>
      <c r="C140" s="188" t="n">
        <v>0</v>
      </c>
      <c r="D140" s="188" t="n">
        <v>0</v>
      </c>
      <c r="E140" s="189">
        <f>C140-D140</f>
        <v/>
      </c>
      <c r="F140" s="190" t="inlineStr"/>
      <c r="G140" s="191" t="inlineStr"/>
      <c r="H140" s="187" t="inlineStr"/>
      <c r="I140" s="192" t="inlineStr"/>
    </row>
    <row r="141" ht="18" customHeight="1">
      <c r="A141" s="186" t="inlineStr"/>
      <c r="B141" s="187" t="inlineStr"/>
      <c r="C141" s="188" t="n">
        <v>0</v>
      </c>
      <c r="D141" s="188" t="n">
        <v>0</v>
      </c>
      <c r="E141" s="189">
        <f>C141-D141</f>
        <v/>
      </c>
      <c r="F141" s="190" t="inlineStr"/>
      <c r="G141" s="191" t="inlineStr"/>
      <c r="H141" s="187" t="inlineStr"/>
      <c r="I141" s="192" t="inlineStr"/>
    </row>
    <row r="142" ht="18" customHeight="1">
      <c r="A142" s="193" t="inlineStr"/>
      <c r="B142" s="194" t="inlineStr"/>
      <c r="C142" s="188" t="n">
        <v>0</v>
      </c>
      <c r="D142" s="188" t="n">
        <v>0</v>
      </c>
      <c r="E142" s="189">
        <f>C142-D142</f>
        <v/>
      </c>
      <c r="F142" s="190" t="inlineStr"/>
      <c r="G142" s="191" t="inlineStr"/>
      <c r="H142" s="187" t="inlineStr"/>
      <c r="I142" s="192" t="inlineStr"/>
    </row>
    <row r="143" ht="18" customHeight="1">
      <c r="A143" s="186" t="inlineStr"/>
      <c r="B143" s="187" t="inlineStr"/>
      <c r="C143" s="188" t="n">
        <v>0</v>
      </c>
      <c r="D143" s="188" t="n">
        <v>0</v>
      </c>
      <c r="E143" s="189">
        <f>C143-D143</f>
        <v/>
      </c>
      <c r="F143" s="190" t="inlineStr"/>
      <c r="G143" s="191" t="inlineStr"/>
      <c r="H143" s="187" t="inlineStr"/>
      <c r="I143" s="192" t="inlineStr"/>
    </row>
    <row r="144" ht="18" customHeight="1">
      <c r="A144" s="193" t="inlineStr"/>
      <c r="B144" s="194" t="inlineStr"/>
      <c r="C144" s="188" t="n">
        <v>0</v>
      </c>
      <c r="D144" s="188" t="n">
        <v>0</v>
      </c>
      <c r="E144" s="189">
        <f>C144-D144</f>
        <v/>
      </c>
      <c r="F144" s="190" t="inlineStr"/>
      <c r="G144" s="191" t="inlineStr"/>
      <c r="H144" s="187" t="inlineStr"/>
      <c r="I144" s="192" t="inlineStr"/>
    </row>
    <row r="145" ht="18" customHeight="1">
      <c r="A145" s="186" t="inlineStr"/>
      <c r="B145" s="187" t="inlineStr"/>
      <c r="C145" s="188" t="n">
        <v>0</v>
      </c>
      <c r="D145" s="188" t="n">
        <v>0</v>
      </c>
      <c r="E145" s="189">
        <f>C145-D145</f>
        <v/>
      </c>
      <c r="F145" s="190" t="inlineStr"/>
      <c r="G145" s="191" t="inlineStr"/>
      <c r="H145" s="187" t="inlineStr"/>
      <c r="I145" s="192" t="inlineStr"/>
    </row>
    <row r="146" ht="18" customHeight="1">
      <c r="A146" s="193" t="inlineStr"/>
      <c r="B146" s="194" t="inlineStr"/>
      <c r="C146" s="188" t="n">
        <v>0</v>
      </c>
      <c r="D146" s="188" t="n">
        <v>0</v>
      </c>
      <c r="E146" s="189">
        <f>C146-D146</f>
        <v/>
      </c>
      <c r="F146" s="190" t="inlineStr"/>
      <c r="G146" s="191" t="inlineStr"/>
      <c r="H146" s="187" t="inlineStr"/>
      <c r="I146" s="192" t="inlineStr"/>
    </row>
    <row r="147" ht="18" customHeight="1">
      <c r="A147" s="186" t="inlineStr"/>
      <c r="B147" s="187" t="inlineStr"/>
      <c r="C147" s="188" t="n">
        <v>0</v>
      </c>
      <c r="D147" s="188" t="n">
        <v>0</v>
      </c>
      <c r="E147" s="189">
        <f>C147-D147</f>
        <v/>
      </c>
      <c r="F147" s="190" t="inlineStr"/>
      <c r="G147" s="191" t="inlineStr"/>
      <c r="H147" s="187" t="inlineStr"/>
      <c r="I147" s="192" t="inlineStr"/>
    </row>
    <row r="148" ht="18" customHeight="1">
      <c r="A148" s="193" t="inlineStr"/>
      <c r="B148" s="194" t="inlineStr"/>
      <c r="C148" s="188" t="n">
        <v>0</v>
      </c>
      <c r="D148" s="188" t="n">
        <v>0</v>
      </c>
      <c r="E148" s="189">
        <f>C148-D148</f>
        <v/>
      </c>
      <c r="F148" s="190" t="inlineStr"/>
      <c r="G148" s="191" t="inlineStr"/>
      <c r="H148" s="187" t="inlineStr"/>
      <c r="I148" s="192" t="inlineStr"/>
    </row>
    <row r="149" ht="18" customHeight="1">
      <c r="A149" s="186" t="inlineStr"/>
      <c r="B149" s="187" t="inlineStr"/>
      <c r="C149" s="188" t="n">
        <v>0</v>
      </c>
      <c r="D149" s="188" t="n">
        <v>0</v>
      </c>
      <c r="E149" s="189">
        <f>C149-D149</f>
        <v/>
      </c>
      <c r="F149" s="190" t="inlineStr"/>
      <c r="G149" s="191" t="inlineStr"/>
      <c r="H149" s="187" t="inlineStr"/>
      <c r="I149" s="192" t="inlineStr"/>
    </row>
    <row r="150" ht="18" customHeight="1">
      <c r="A150" s="193" t="inlineStr"/>
      <c r="B150" s="194" t="inlineStr"/>
      <c r="C150" s="188" t="n">
        <v>0</v>
      </c>
      <c r="D150" s="188" t="n">
        <v>0</v>
      </c>
      <c r="E150" s="189">
        <f>C150-D150</f>
        <v/>
      </c>
      <c r="F150" s="190" t="inlineStr"/>
      <c r="G150" s="191" t="inlineStr"/>
      <c r="H150" s="187" t="inlineStr"/>
      <c r="I150" s="192" t="inlineStr"/>
    </row>
    <row r="151" ht="18" customHeight="1">
      <c r="A151" s="186" t="inlineStr"/>
      <c r="B151" s="187" t="inlineStr"/>
      <c r="C151" s="188" t="n">
        <v>0</v>
      </c>
      <c r="D151" s="188" t="n">
        <v>0</v>
      </c>
      <c r="E151" s="189">
        <f>C151-D151</f>
        <v/>
      </c>
      <c r="F151" s="190" t="inlineStr"/>
      <c r="G151" s="191" t="inlineStr"/>
      <c r="H151" s="187" t="inlineStr"/>
      <c r="I151" s="192" t="inlineStr"/>
    </row>
    <row r="152" ht="18" customHeight="1">
      <c r="A152" s="193" t="inlineStr"/>
      <c r="B152" s="194" t="inlineStr"/>
      <c r="C152" s="188" t="n">
        <v>0</v>
      </c>
      <c r="D152" s="188" t="n">
        <v>0</v>
      </c>
      <c r="E152" s="189">
        <f>C152-D152</f>
        <v/>
      </c>
      <c r="F152" s="190" t="inlineStr"/>
      <c r="G152" s="191" t="inlineStr"/>
      <c r="H152" s="187" t="inlineStr"/>
      <c r="I152" s="192" t="inlineStr"/>
    </row>
    <row r="153" ht="18" customHeight="1">
      <c r="A153" s="186" t="inlineStr"/>
      <c r="B153" s="187" t="inlineStr"/>
      <c r="C153" s="188" t="n">
        <v>0</v>
      </c>
      <c r="D153" s="188" t="n">
        <v>0</v>
      </c>
      <c r="E153" s="189">
        <f>C153-D153</f>
        <v/>
      </c>
      <c r="F153" s="190" t="inlineStr"/>
      <c r="G153" s="191" t="inlineStr"/>
      <c r="H153" s="187" t="inlineStr"/>
      <c r="I153" s="192" t="inlineStr"/>
    </row>
    <row r="154" ht="18" customHeight="1">
      <c r="A154" s="193" t="inlineStr"/>
      <c r="B154" s="194" t="inlineStr"/>
      <c r="C154" s="188" t="n">
        <v>0</v>
      </c>
      <c r="D154" s="188" t="n">
        <v>0</v>
      </c>
      <c r="E154" s="189">
        <f>C154-D154</f>
        <v/>
      </c>
      <c r="F154" s="190" t="inlineStr"/>
      <c r="G154" s="191" t="inlineStr"/>
      <c r="H154" s="187" t="inlineStr"/>
      <c r="I154" s="192" t="inlineStr"/>
    </row>
    <row r="155" ht="22" customHeight="1">
      <c r="A155" s="77" t="inlineStr">
        <is>
          <t>TOTALS</t>
        </is>
      </c>
      <c r="C155" s="195">
        <f>SUM(C5:C154)</f>
        <v/>
      </c>
      <c r="D155" s="195">
        <f>SUM(D5:D154)</f>
        <v/>
      </c>
      <c r="E155" s="185">
        <f>IF(C155=D155,"✅ BALANCED — TB ticks","❌ DIFF: "&amp;TEXT(C155-D155,"#,##0"))</f>
        <v/>
      </c>
    </row>
    <row r="157">
      <c r="A157" s="2" t="inlineStr">
        <is>
          <t>HOW TO USE — TB IMPORT SHEET</t>
        </is>
      </c>
    </row>
    <row r="158" ht="28" customHeight="1">
      <c r="A158" s="196" t="inlineStr">
        <is>
          <t>▶  STEP 1: Export TB from Tally/SAP/Zoho to Excel. Paste Ledger Name → Col A | Debit → Col C | Credit → Col D.</t>
        </is>
      </c>
      <c r="B158" s="59" t="n"/>
      <c r="C158" s="59" t="n"/>
      <c r="D158" s="59" t="n"/>
      <c r="E158" s="59" t="n"/>
      <c r="F158" s="59" t="n"/>
      <c r="G158" s="59" t="n"/>
      <c r="H158" s="59" t="n"/>
      <c r="I158" s="60" t="n"/>
    </row>
    <row r="159" ht="28" customHeight="1">
      <c r="A159" s="34" t="inlineStr">
        <is>
          <t>▶  STEP 2: Assign Schedule III Group from dropdown (Col F). Col G/H will guide FS placement.</t>
        </is>
      </c>
      <c r="B159" s="59" t="n"/>
      <c r="C159" s="59" t="n"/>
      <c r="D159" s="59" t="n"/>
      <c r="E159" s="59" t="n"/>
      <c r="F159" s="59" t="n"/>
      <c r="G159" s="59" t="n"/>
      <c r="H159" s="59" t="n"/>
      <c r="I159" s="60" t="n"/>
    </row>
    <row r="160" ht="28" customHeight="1">
      <c r="A160" s="196" t="inlineStr">
        <is>
          <t>▶  STEP 3: Mark Audit Flags in Col I for ledgers needing special investigation.</t>
        </is>
      </c>
      <c r="B160" s="59" t="n"/>
      <c r="C160" s="59" t="n"/>
      <c r="D160" s="59" t="n"/>
      <c r="E160" s="59" t="n"/>
      <c r="F160" s="59" t="n"/>
      <c r="G160" s="59" t="n"/>
      <c r="H160" s="59" t="n"/>
      <c r="I160" s="60" t="n"/>
    </row>
    <row r="161" ht="28" customHeight="1">
      <c r="A161" s="34" t="inlineStr">
        <is>
          <t>▶  STEP 4: Verify Row 155 shows ✅ BALANCED before proceeding to FS Draft.</t>
        </is>
      </c>
      <c r="B161" s="59" t="n"/>
      <c r="C161" s="59" t="n"/>
      <c r="D161" s="59" t="n"/>
      <c r="E161" s="59" t="n"/>
      <c r="F161" s="59" t="n"/>
      <c r="G161" s="59" t="n"/>
      <c r="H161" s="59" t="n"/>
      <c r="I161" s="60" t="n"/>
    </row>
    <row r="162" ht="28" customHeight="1">
      <c r="A162" s="196" t="inlineStr">
        <is>
          <t>▶  STEP 5: Paste this TB into the AI Audit Assistant (React App) for automated risk identification, CARO flags, TDS/GST checks.</t>
        </is>
      </c>
      <c r="B162" s="59" t="n"/>
      <c r="C162" s="59" t="n"/>
      <c r="D162" s="59" t="n"/>
      <c r="E162" s="59" t="n"/>
      <c r="F162" s="59" t="n"/>
      <c r="G162" s="59" t="n"/>
      <c r="H162" s="59" t="n"/>
      <c r="I162" s="60" t="n"/>
    </row>
    <row r="163" ht="28" customHeight="1">
      <c r="A163" s="34" t="inlineStr">
        <is>
          <t>▶  AI PROMPT: 'Act as a senior CA conducting statutory + tax audit for FY 2025-26. Review this TB and identify: audit risks, disallowances, GST risks, missing provisions, CARO matters, top 10 audit queries.'</t>
        </is>
      </c>
      <c r="B163" s="59" t="n"/>
      <c r="C163" s="59" t="n"/>
      <c r="D163" s="59" t="n"/>
      <c r="E163" s="59" t="n"/>
      <c r="F163" s="59" t="n"/>
      <c r="G163" s="59" t="n"/>
      <c r="H163" s="59" t="n"/>
      <c r="I163" s="60" t="n"/>
    </row>
  </sheetData>
  <mergeCells count="11">
    <mergeCell ref="A2:I2"/>
    <mergeCell ref="A160:I160"/>
    <mergeCell ref="A161:I161"/>
    <mergeCell ref="A155:B155"/>
    <mergeCell ref="A1:I1"/>
    <mergeCell ref="A158:I158"/>
    <mergeCell ref="E155:I155"/>
    <mergeCell ref="A159:I159"/>
    <mergeCell ref="A162:I162"/>
    <mergeCell ref="A163:I163"/>
    <mergeCell ref="A157:I157"/>
  </mergeCells>
  <dataValidations count="3">
    <dataValidation sqref="F5:F154" showDropDown="0" showInputMessage="0" showErrorMessage="0" allowBlank="1" type="list">
      <formula1>"Share Capital,Other Equity,Non-Current Borrowings,Deferred Tax Liability,Long-Term Provisions,Trade Payables — MSME,Trade Payables — Others,Other Current Liabilities,Short-Term Borrowings,Short-Term Provisions,Property Plant &amp; Equipment,Capital Work-in-Progress,Goodwill,Other Intangible Assets,Non-Current Investments,Deferred Tax Asset,Long-Term Loans &amp; Advances,Other Non-Current Assets,Current Investments,Inventories,Trade Receivables,Cash &amp; Cash Equivalents,Bank Balances — Others,Short-Term Loans &amp; Advances,Other Current Assets,Revenue from Operations,Other Income,Cost of Materials Consumed,Purchase of Stock-in-Trade,Changes in Inventories,Employee Benefit Expenses,Finance Costs,Depreciation &amp; Amortisation,Other Expenses,Tax Expense — Current,Tax Expense — Deferred"</formula1>
    </dataValidation>
    <dataValidation sqref="H5:H154" showDropDown="0" showInputMessage="0" showErrorMessage="0" allowBlank="1" type="list">
      <formula1>"Balance Sheet,Profit &amp; Loss"</formula1>
    </dataValidation>
    <dataValidation sqref="I5:I154" showDropDown="0" showInputMessage="0" showErrorMessage="0" allowBlank="1" type="list">
      <formula1>"Normal,Unusual Balance,Possible RPT,Possible TDS Issue,Possible GST Issue,MSME Check,Capital vs Revenue,Personal Expense,Cash &gt;10K,High Value — Scrutinise"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22" customWidth="1" min="3" max="3"/>
    <col width="13" customWidth="1" min="4" max="4"/>
    <col width="35" customWidth="1" min="5" max="5"/>
    <col width="9" customWidth="1" min="6" max="6"/>
    <col width="14" customWidth="1" min="7" max="7"/>
    <col width="14" customWidth="1" min="8" max="8"/>
    <col width="14" customWidth="1" min="9" max="9"/>
    <col width="30" customWidth="1" min="10" max="10"/>
  </cols>
  <sheetData>
    <row r="1">
      <c r="A1" s="30" t="inlineStr">
        <is>
          <t>LEDGER SCRUTINY WORKBOOK — HIGH RISK LEDGERS  |  FY 2025-26</t>
        </is>
      </c>
    </row>
    <row r="2">
      <c r="A2" s="31" t="inlineStr">
        <is>
          <t>Paste individual ledger transactions. Flag each entry. Use AI for automated observation.</t>
        </is>
      </c>
    </row>
    <row r="4">
      <c r="A4" s="185" t="inlineStr">
        <is>
          <t>Date</t>
        </is>
      </c>
      <c r="B4" s="185" t="inlineStr">
        <is>
          <t>Vch No.</t>
        </is>
      </c>
      <c r="C4" s="185" t="inlineStr">
        <is>
          <t>Type</t>
        </is>
      </c>
      <c r="D4" s="185" t="inlineStr">
        <is>
          <t>Narration</t>
        </is>
      </c>
      <c r="E4" s="185" t="inlineStr">
        <is>
          <t>Debit (₹)</t>
        </is>
      </c>
      <c r="F4" s="185" t="inlineStr">
        <is>
          <t>Credit (₹)</t>
        </is>
      </c>
      <c r="G4" s="185" t="inlineStr">
        <is>
          <t>Balance (₹)</t>
        </is>
      </c>
      <c r="H4" s="185" t="inlineStr">
        <is>
          <t>TDS?</t>
        </is>
      </c>
      <c r="I4" s="185" t="inlineStr">
        <is>
          <t>GST?</t>
        </is>
      </c>
      <c r="J4" s="185" t="inlineStr">
        <is>
          <t>Audit Flag</t>
        </is>
      </c>
    </row>
    <row r="5" ht="20" customHeight="1">
      <c r="A5" s="186" t="inlineStr"/>
      <c r="B5" s="186" t="inlineStr"/>
      <c r="C5" s="186" t="inlineStr"/>
      <c r="D5" s="186" t="inlineStr"/>
      <c r="E5" s="188" t="n">
        <v>0</v>
      </c>
      <c r="F5" s="188" t="n">
        <v>0</v>
      </c>
      <c r="G5" s="189">
        <f>E5-F5</f>
        <v/>
      </c>
      <c r="H5" s="197" t="inlineStr"/>
      <c r="I5" s="197" t="inlineStr"/>
      <c r="J5" s="192" t="inlineStr"/>
    </row>
    <row r="6" ht="20" customHeight="1">
      <c r="A6" s="193" t="inlineStr"/>
      <c r="B6" s="193" t="inlineStr"/>
      <c r="C6" s="193" t="inlineStr"/>
      <c r="D6" s="193" t="inlineStr"/>
      <c r="E6" s="188" t="n">
        <v>0</v>
      </c>
      <c r="F6" s="188" t="n">
        <v>0</v>
      </c>
      <c r="G6" s="189">
        <f>E6-F6</f>
        <v/>
      </c>
      <c r="H6" s="197" t="inlineStr"/>
      <c r="I6" s="197" t="inlineStr"/>
      <c r="J6" s="192" t="inlineStr"/>
    </row>
    <row r="7" ht="20" customHeight="1">
      <c r="A7" s="186" t="inlineStr"/>
      <c r="B7" s="186" t="inlineStr"/>
      <c r="C7" s="186" t="inlineStr"/>
      <c r="D7" s="186" t="inlineStr"/>
      <c r="E7" s="188" t="n">
        <v>0</v>
      </c>
      <c r="F7" s="188" t="n">
        <v>0</v>
      </c>
      <c r="G7" s="189">
        <f>E7-F7</f>
        <v/>
      </c>
      <c r="H7" s="197" t="inlineStr"/>
      <c r="I7" s="197" t="inlineStr"/>
      <c r="J7" s="192" t="inlineStr"/>
    </row>
    <row r="8" ht="20" customHeight="1">
      <c r="A8" s="193" t="inlineStr"/>
      <c r="B8" s="193" t="inlineStr"/>
      <c r="C8" s="193" t="inlineStr"/>
      <c r="D8" s="193" t="inlineStr"/>
      <c r="E8" s="188" t="n">
        <v>0</v>
      </c>
      <c r="F8" s="188" t="n">
        <v>0</v>
      </c>
      <c r="G8" s="189">
        <f>E8-F8</f>
        <v/>
      </c>
      <c r="H8" s="197" t="inlineStr"/>
      <c r="I8" s="197" t="inlineStr"/>
      <c r="J8" s="192" t="inlineStr"/>
    </row>
    <row r="9" ht="20" customHeight="1">
      <c r="A9" s="186" t="inlineStr"/>
      <c r="B9" s="186" t="inlineStr"/>
      <c r="C9" s="186" t="inlineStr"/>
      <c r="D9" s="186" t="inlineStr"/>
      <c r="E9" s="188" t="n">
        <v>0</v>
      </c>
      <c r="F9" s="188" t="n">
        <v>0</v>
      </c>
      <c r="G9" s="189">
        <f>E9-F9</f>
        <v/>
      </c>
      <c r="H9" s="197" t="inlineStr"/>
      <c r="I9" s="197" t="inlineStr"/>
      <c r="J9" s="192" t="inlineStr"/>
    </row>
    <row r="10" ht="20" customHeight="1">
      <c r="A10" s="193" t="inlineStr"/>
      <c r="B10" s="193" t="inlineStr"/>
      <c r="C10" s="193" t="inlineStr"/>
      <c r="D10" s="193" t="inlineStr"/>
      <c r="E10" s="188" t="n">
        <v>0</v>
      </c>
      <c r="F10" s="188" t="n">
        <v>0</v>
      </c>
      <c r="G10" s="189">
        <f>E10-F10</f>
        <v/>
      </c>
      <c r="H10" s="197" t="inlineStr"/>
      <c r="I10" s="197" t="inlineStr"/>
      <c r="J10" s="192" t="inlineStr"/>
    </row>
    <row r="11" ht="20" customHeight="1">
      <c r="A11" s="186" t="inlineStr"/>
      <c r="B11" s="186" t="inlineStr"/>
      <c r="C11" s="186" t="inlineStr"/>
      <c r="D11" s="186" t="inlineStr"/>
      <c r="E11" s="188" t="n">
        <v>0</v>
      </c>
      <c r="F11" s="188" t="n">
        <v>0</v>
      </c>
      <c r="G11" s="189">
        <f>E11-F11</f>
        <v/>
      </c>
      <c r="H11" s="197" t="inlineStr"/>
      <c r="I11" s="197" t="inlineStr"/>
      <c r="J11" s="192" t="inlineStr"/>
    </row>
    <row r="12" ht="20" customHeight="1">
      <c r="A12" s="193" t="inlineStr"/>
      <c r="B12" s="193" t="inlineStr"/>
      <c r="C12" s="193" t="inlineStr"/>
      <c r="D12" s="193" t="inlineStr"/>
      <c r="E12" s="188" t="n">
        <v>0</v>
      </c>
      <c r="F12" s="188" t="n">
        <v>0</v>
      </c>
      <c r="G12" s="189">
        <f>E12-F12</f>
        <v/>
      </c>
      <c r="H12" s="197" t="inlineStr"/>
      <c r="I12" s="197" t="inlineStr"/>
      <c r="J12" s="192" t="inlineStr"/>
    </row>
    <row r="13" ht="20" customHeight="1">
      <c r="A13" s="186" t="inlineStr"/>
      <c r="B13" s="186" t="inlineStr"/>
      <c r="C13" s="186" t="inlineStr"/>
      <c r="D13" s="186" t="inlineStr"/>
      <c r="E13" s="188" t="n">
        <v>0</v>
      </c>
      <c r="F13" s="188" t="n">
        <v>0</v>
      </c>
      <c r="G13" s="189">
        <f>E13-F13</f>
        <v/>
      </c>
      <c r="H13" s="197" t="inlineStr"/>
      <c r="I13" s="197" t="inlineStr"/>
      <c r="J13" s="192" t="inlineStr"/>
    </row>
    <row r="14" ht="20" customHeight="1">
      <c r="A14" s="193" t="inlineStr"/>
      <c r="B14" s="193" t="inlineStr"/>
      <c r="C14" s="193" t="inlineStr"/>
      <c r="D14" s="193" t="inlineStr"/>
      <c r="E14" s="188" t="n">
        <v>0</v>
      </c>
      <c r="F14" s="188" t="n">
        <v>0</v>
      </c>
      <c r="G14" s="189">
        <f>E14-F14</f>
        <v/>
      </c>
      <c r="H14" s="197" t="inlineStr"/>
      <c r="I14" s="197" t="inlineStr"/>
      <c r="J14" s="192" t="inlineStr"/>
    </row>
    <row r="15" ht="20" customHeight="1">
      <c r="A15" s="186" t="inlineStr"/>
      <c r="B15" s="186" t="inlineStr"/>
      <c r="C15" s="186" t="inlineStr"/>
      <c r="D15" s="186" t="inlineStr"/>
      <c r="E15" s="188" t="n">
        <v>0</v>
      </c>
      <c r="F15" s="188" t="n">
        <v>0</v>
      </c>
      <c r="G15" s="189">
        <f>E15-F15</f>
        <v/>
      </c>
      <c r="H15" s="197" t="inlineStr"/>
      <c r="I15" s="197" t="inlineStr"/>
      <c r="J15" s="192" t="inlineStr"/>
    </row>
    <row r="16" ht="20" customHeight="1">
      <c r="A16" s="193" t="inlineStr"/>
      <c r="B16" s="193" t="inlineStr"/>
      <c r="C16" s="193" t="inlineStr"/>
      <c r="D16" s="193" t="inlineStr"/>
      <c r="E16" s="188" t="n">
        <v>0</v>
      </c>
      <c r="F16" s="188" t="n">
        <v>0</v>
      </c>
      <c r="G16" s="189">
        <f>E16-F16</f>
        <v/>
      </c>
      <c r="H16" s="197" t="inlineStr"/>
      <c r="I16" s="197" t="inlineStr"/>
      <c r="J16" s="192" t="inlineStr"/>
    </row>
    <row r="17" ht="20" customHeight="1">
      <c r="A17" s="186" t="inlineStr"/>
      <c r="B17" s="186" t="inlineStr"/>
      <c r="C17" s="186" t="inlineStr"/>
      <c r="D17" s="186" t="inlineStr"/>
      <c r="E17" s="188" t="n">
        <v>0</v>
      </c>
      <c r="F17" s="188" t="n">
        <v>0</v>
      </c>
      <c r="G17" s="189">
        <f>E17-F17</f>
        <v/>
      </c>
      <c r="H17" s="197" t="inlineStr"/>
      <c r="I17" s="197" t="inlineStr"/>
      <c r="J17" s="192" t="inlineStr"/>
    </row>
    <row r="18" ht="20" customHeight="1">
      <c r="A18" s="193" t="inlineStr"/>
      <c r="B18" s="193" t="inlineStr"/>
      <c r="C18" s="193" t="inlineStr"/>
      <c r="D18" s="193" t="inlineStr"/>
      <c r="E18" s="188" t="n">
        <v>0</v>
      </c>
      <c r="F18" s="188" t="n">
        <v>0</v>
      </c>
      <c r="G18" s="189">
        <f>E18-F18</f>
        <v/>
      </c>
      <c r="H18" s="197" t="inlineStr"/>
      <c r="I18" s="197" t="inlineStr"/>
      <c r="J18" s="192" t="inlineStr"/>
    </row>
    <row r="19" ht="20" customHeight="1">
      <c r="A19" s="186" t="inlineStr"/>
      <c r="B19" s="186" t="inlineStr"/>
      <c r="C19" s="186" t="inlineStr"/>
      <c r="D19" s="186" t="inlineStr"/>
      <c r="E19" s="188" t="n">
        <v>0</v>
      </c>
      <c r="F19" s="188" t="n">
        <v>0</v>
      </c>
      <c r="G19" s="189">
        <f>E19-F19</f>
        <v/>
      </c>
      <c r="H19" s="197" t="inlineStr"/>
      <c r="I19" s="197" t="inlineStr"/>
      <c r="J19" s="192" t="inlineStr"/>
    </row>
    <row r="20" ht="20" customHeight="1">
      <c r="A20" s="193" t="inlineStr"/>
      <c r="B20" s="193" t="inlineStr"/>
      <c r="C20" s="193" t="inlineStr"/>
      <c r="D20" s="193" t="inlineStr"/>
      <c r="E20" s="188" t="n">
        <v>0</v>
      </c>
      <c r="F20" s="188" t="n">
        <v>0</v>
      </c>
      <c r="G20" s="189">
        <f>E20-F20</f>
        <v/>
      </c>
      <c r="H20" s="197" t="inlineStr"/>
      <c r="I20" s="197" t="inlineStr"/>
      <c r="J20" s="192" t="inlineStr"/>
    </row>
    <row r="21" ht="20" customHeight="1">
      <c r="A21" s="186" t="inlineStr"/>
      <c r="B21" s="186" t="inlineStr"/>
      <c r="C21" s="186" t="inlineStr"/>
      <c r="D21" s="186" t="inlineStr"/>
      <c r="E21" s="188" t="n">
        <v>0</v>
      </c>
      <c r="F21" s="188" t="n">
        <v>0</v>
      </c>
      <c r="G21" s="189">
        <f>E21-F21</f>
        <v/>
      </c>
      <c r="H21" s="197" t="inlineStr"/>
      <c r="I21" s="197" t="inlineStr"/>
      <c r="J21" s="192" t="inlineStr"/>
    </row>
    <row r="22" ht="20" customHeight="1">
      <c r="A22" s="193" t="inlineStr"/>
      <c r="B22" s="193" t="inlineStr"/>
      <c r="C22" s="193" t="inlineStr"/>
      <c r="D22" s="193" t="inlineStr"/>
      <c r="E22" s="188" t="n">
        <v>0</v>
      </c>
      <c r="F22" s="188" t="n">
        <v>0</v>
      </c>
      <c r="G22" s="189">
        <f>E22-F22</f>
        <v/>
      </c>
      <c r="H22" s="197" t="inlineStr"/>
      <c r="I22" s="197" t="inlineStr"/>
      <c r="J22" s="192" t="inlineStr"/>
    </row>
    <row r="23" ht="20" customHeight="1">
      <c r="A23" s="186" t="inlineStr"/>
      <c r="B23" s="186" t="inlineStr"/>
      <c r="C23" s="186" t="inlineStr"/>
      <c r="D23" s="186" t="inlineStr"/>
      <c r="E23" s="188" t="n">
        <v>0</v>
      </c>
      <c r="F23" s="188" t="n">
        <v>0</v>
      </c>
      <c r="G23" s="189">
        <f>E23-F23</f>
        <v/>
      </c>
      <c r="H23" s="197" t="inlineStr"/>
      <c r="I23" s="197" t="inlineStr"/>
      <c r="J23" s="192" t="inlineStr"/>
    </row>
    <row r="24" ht="20" customHeight="1">
      <c r="A24" s="193" t="inlineStr"/>
      <c r="B24" s="193" t="inlineStr"/>
      <c r="C24" s="193" t="inlineStr"/>
      <c r="D24" s="193" t="inlineStr"/>
      <c r="E24" s="188" t="n">
        <v>0</v>
      </c>
      <c r="F24" s="188" t="n">
        <v>0</v>
      </c>
      <c r="G24" s="189">
        <f>E24-F24</f>
        <v/>
      </c>
      <c r="H24" s="197" t="inlineStr"/>
      <c r="I24" s="197" t="inlineStr"/>
      <c r="J24" s="192" t="inlineStr"/>
    </row>
    <row r="25" ht="20" customHeight="1">
      <c r="A25" s="186" t="inlineStr"/>
      <c r="B25" s="186" t="inlineStr"/>
      <c r="C25" s="186" t="inlineStr"/>
      <c r="D25" s="186" t="inlineStr"/>
      <c r="E25" s="188" t="n">
        <v>0</v>
      </c>
      <c r="F25" s="188" t="n">
        <v>0</v>
      </c>
      <c r="G25" s="189">
        <f>E25-F25</f>
        <v/>
      </c>
      <c r="H25" s="197" t="inlineStr"/>
      <c r="I25" s="197" t="inlineStr"/>
      <c r="J25" s="192" t="inlineStr"/>
    </row>
    <row r="26" ht="20" customHeight="1">
      <c r="A26" s="193" t="inlineStr"/>
      <c r="B26" s="193" t="inlineStr"/>
      <c r="C26" s="193" t="inlineStr"/>
      <c r="D26" s="193" t="inlineStr"/>
      <c r="E26" s="188" t="n">
        <v>0</v>
      </c>
      <c r="F26" s="188" t="n">
        <v>0</v>
      </c>
      <c r="G26" s="189">
        <f>E26-F26</f>
        <v/>
      </c>
      <c r="H26" s="197" t="inlineStr"/>
      <c r="I26" s="197" t="inlineStr"/>
      <c r="J26" s="192" t="inlineStr"/>
    </row>
    <row r="27" ht="20" customHeight="1">
      <c r="A27" s="186" t="inlineStr"/>
      <c r="B27" s="186" t="inlineStr"/>
      <c r="C27" s="186" t="inlineStr"/>
      <c r="D27" s="186" t="inlineStr"/>
      <c r="E27" s="188" t="n">
        <v>0</v>
      </c>
      <c r="F27" s="188" t="n">
        <v>0</v>
      </c>
      <c r="G27" s="189">
        <f>E27-F27</f>
        <v/>
      </c>
      <c r="H27" s="197" t="inlineStr"/>
      <c r="I27" s="197" t="inlineStr"/>
      <c r="J27" s="192" t="inlineStr"/>
    </row>
    <row r="28" ht="20" customHeight="1">
      <c r="A28" s="193" t="inlineStr"/>
      <c r="B28" s="193" t="inlineStr"/>
      <c r="C28" s="193" t="inlineStr"/>
      <c r="D28" s="193" t="inlineStr"/>
      <c r="E28" s="188" t="n">
        <v>0</v>
      </c>
      <c r="F28" s="188" t="n">
        <v>0</v>
      </c>
      <c r="G28" s="189">
        <f>E28-F28</f>
        <v/>
      </c>
      <c r="H28" s="197" t="inlineStr"/>
      <c r="I28" s="197" t="inlineStr"/>
      <c r="J28" s="192" t="inlineStr"/>
    </row>
    <row r="29" ht="20" customHeight="1">
      <c r="A29" s="186" t="inlineStr"/>
      <c r="B29" s="186" t="inlineStr"/>
      <c r="C29" s="186" t="inlineStr"/>
      <c r="D29" s="186" t="inlineStr"/>
      <c r="E29" s="188" t="n">
        <v>0</v>
      </c>
      <c r="F29" s="188" t="n">
        <v>0</v>
      </c>
      <c r="G29" s="189">
        <f>E29-F29</f>
        <v/>
      </c>
      <c r="H29" s="197" t="inlineStr"/>
      <c r="I29" s="197" t="inlineStr"/>
      <c r="J29" s="192" t="inlineStr"/>
    </row>
    <row r="30" ht="20" customHeight="1">
      <c r="A30" s="193" t="inlineStr"/>
      <c r="B30" s="193" t="inlineStr"/>
      <c r="C30" s="193" t="inlineStr"/>
      <c r="D30" s="193" t="inlineStr"/>
      <c r="E30" s="188" t="n">
        <v>0</v>
      </c>
      <c r="F30" s="188" t="n">
        <v>0</v>
      </c>
      <c r="G30" s="189">
        <f>E30-F30</f>
        <v/>
      </c>
      <c r="H30" s="197" t="inlineStr"/>
      <c r="I30" s="197" t="inlineStr"/>
      <c r="J30" s="192" t="inlineStr"/>
    </row>
    <row r="31" ht="20" customHeight="1">
      <c r="A31" s="186" t="inlineStr"/>
      <c r="B31" s="186" t="inlineStr"/>
      <c r="C31" s="186" t="inlineStr"/>
      <c r="D31" s="186" t="inlineStr"/>
      <c r="E31" s="188" t="n">
        <v>0</v>
      </c>
      <c r="F31" s="188" t="n">
        <v>0</v>
      </c>
      <c r="G31" s="189">
        <f>E31-F31</f>
        <v/>
      </c>
      <c r="H31" s="197" t="inlineStr"/>
      <c r="I31" s="197" t="inlineStr"/>
      <c r="J31" s="192" t="inlineStr"/>
    </row>
    <row r="32" ht="20" customHeight="1">
      <c r="A32" s="193" t="inlineStr"/>
      <c r="B32" s="193" t="inlineStr"/>
      <c r="C32" s="193" t="inlineStr"/>
      <c r="D32" s="193" t="inlineStr"/>
      <c r="E32" s="188" t="n">
        <v>0</v>
      </c>
      <c r="F32" s="188" t="n">
        <v>0</v>
      </c>
      <c r="G32" s="189">
        <f>E32-F32</f>
        <v/>
      </c>
      <c r="H32" s="197" t="inlineStr"/>
      <c r="I32" s="197" t="inlineStr"/>
      <c r="J32" s="192" t="inlineStr"/>
    </row>
    <row r="33" ht="20" customHeight="1">
      <c r="A33" s="186" t="inlineStr"/>
      <c r="B33" s="186" t="inlineStr"/>
      <c r="C33" s="186" t="inlineStr"/>
      <c r="D33" s="186" t="inlineStr"/>
      <c r="E33" s="188" t="n">
        <v>0</v>
      </c>
      <c r="F33" s="188" t="n">
        <v>0</v>
      </c>
      <c r="G33" s="189">
        <f>E33-F33</f>
        <v/>
      </c>
      <c r="H33" s="197" t="inlineStr"/>
      <c r="I33" s="197" t="inlineStr"/>
      <c r="J33" s="192" t="inlineStr"/>
    </row>
    <row r="34" ht="20" customHeight="1">
      <c r="A34" s="193" t="inlineStr"/>
      <c r="B34" s="193" t="inlineStr"/>
      <c r="C34" s="193" t="inlineStr"/>
      <c r="D34" s="193" t="inlineStr"/>
      <c r="E34" s="188" t="n">
        <v>0</v>
      </c>
      <c r="F34" s="188" t="n">
        <v>0</v>
      </c>
      <c r="G34" s="189">
        <f>E34-F34</f>
        <v/>
      </c>
      <c r="H34" s="197" t="inlineStr"/>
      <c r="I34" s="197" t="inlineStr"/>
      <c r="J34" s="192" t="inlineStr"/>
    </row>
    <row r="35" ht="20" customHeight="1">
      <c r="A35" s="186" t="inlineStr"/>
      <c r="B35" s="186" t="inlineStr"/>
      <c r="C35" s="186" t="inlineStr"/>
      <c r="D35" s="186" t="inlineStr"/>
      <c r="E35" s="188" t="n">
        <v>0</v>
      </c>
      <c r="F35" s="188" t="n">
        <v>0</v>
      </c>
      <c r="G35" s="189">
        <f>E35-F35</f>
        <v/>
      </c>
      <c r="H35" s="197" t="inlineStr"/>
      <c r="I35" s="197" t="inlineStr"/>
      <c r="J35" s="192" t="inlineStr"/>
    </row>
    <row r="36" ht="20" customHeight="1">
      <c r="A36" s="193" t="inlineStr"/>
      <c r="B36" s="193" t="inlineStr"/>
      <c r="C36" s="193" t="inlineStr"/>
      <c r="D36" s="193" t="inlineStr"/>
      <c r="E36" s="188" t="n">
        <v>0</v>
      </c>
      <c r="F36" s="188" t="n">
        <v>0</v>
      </c>
      <c r="G36" s="189">
        <f>E36-F36</f>
        <v/>
      </c>
      <c r="H36" s="197" t="inlineStr"/>
      <c r="I36" s="197" t="inlineStr"/>
      <c r="J36" s="192" t="inlineStr"/>
    </row>
    <row r="37" ht="20" customHeight="1">
      <c r="A37" s="186" t="inlineStr"/>
      <c r="B37" s="186" t="inlineStr"/>
      <c r="C37" s="186" t="inlineStr"/>
      <c r="D37" s="186" t="inlineStr"/>
      <c r="E37" s="188" t="n">
        <v>0</v>
      </c>
      <c r="F37" s="188" t="n">
        <v>0</v>
      </c>
      <c r="G37" s="189">
        <f>E37-F37</f>
        <v/>
      </c>
      <c r="H37" s="197" t="inlineStr"/>
      <c r="I37" s="197" t="inlineStr"/>
      <c r="J37" s="192" t="inlineStr"/>
    </row>
    <row r="38" ht="20" customHeight="1">
      <c r="A38" s="193" t="inlineStr"/>
      <c r="B38" s="193" t="inlineStr"/>
      <c r="C38" s="193" t="inlineStr"/>
      <c r="D38" s="193" t="inlineStr"/>
      <c r="E38" s="188" t="n">
        <v>0</v>
      </c>
      <c r="F38" s="188" t="n">
        <v>0</v>
      </c>
      <c r="G38" s="189">
        <f>E38-F38</f>
        <v/>
      </c>
      <c r="H38" s="197" t="inlineStr"/>
      <c r="I38" s="197" t="inlineStr"/>
      <c r="J38" s="192" t="inlineStr"/>
    </row>
    <row r="39" ht="20" customHeight="1">
      <c r="A39" s="186" t="inlineStr"/>
      <c r="B39" s="186" t="inlineStr"/>
      <c r="C39" s="186" t="inlineStr"/>
      <c r="D39" s="186" t="inlineStr"/>
      <c r="E39" s="188" t="n">
        <v>0</v>
      </c>
      <c r="F39" s="188" t="n">
        <v>0</v>
      </c>
      <c r="G39" s="189">
        <f>E39-F39</f>
        <v/>
      </c>
      <c r="H39" s="197" t="inlineStr"/>
      <c r="I39" s="197" t="inlineStr"/>
      <c r="J39" s="192" t="inlineStr"/>
    </row>
    <row r="40" ht="20" customHeight="1">
      <c r="A40" s="193" t="inlineStr"/>
      <c r="B40" s="193" t="inlineStr"/>
      <c r="C40" s="193" t="inlineStr"/>
      <c r="D40" s="193" t="inlineStr"/>
      <c r="E40" s="188" t="n">
        <v>0</v>
      </c>
      <c r="F40" s="188" t="n">
        <v>0</v>
      </c>
      <c r="G40" s="189">
        <f>E40-F40</f>
        <v/>
      </c>
      <c r="H40" s="197" t="inlineStr"/>
      <c r="I40" s="197" t="inlineStr"/>
      <c r="J40" s="192" t="inlineStr"/>
    </row>
    <row r="41" ht="20" customHeight="1">
      <c r="A41" s="186" t="inlineStr"/>
      <c r="B41" s="186" t="inlineStr"/>
      <c r="C41" s="186" t="inlineStr"/>
      <c r="D41" s="186" t="inlineStr"/>
      <c r="E41" s="188" t="n">
        <v>0</v>
      </c>
      <c r="F41" s="188" t="n">
        <v>0</v>
      </c>
      <c r="G41" s="189">
        <f>E41-F41</f>
        <v/>
      </c>
      <c r="H41" s="197" t="inlineStr"/>
      <c r="I41" s="197" t="inlineStr"/>
      <c r="J41" s="192" t="inlineStr"/>
    </row>
    <row r="42" ht="20" customHeight="1">
      <c r="A42" s="193" t="inlineStr"/>
      <c r="B42" s="193" t="inlineStr"/>
      <c r="C42" s="193" t="inlineStr"/>
      <c r="D42" s="193" t="inlineStr"/>
      <c r="E42" s="188" t="n">
        <v>0</v>
      </c>
      <c r="F42" s="188" t="n">
        <v>0</v>
      </c>
      <c r="G42" s="189">
        <f>E42-F42</f>
        <v/>
      </c>
      <c r="H42" s="197" t="inlineStr"/>
      <c r="I42" s="197" t="inlineStr"/>
      <c r="J42" s="192" t="inlineStr"/>
    </row>
    <row r="43" ht="20" customHeight="1">
      <c r="A43" s="186" t="inlineStr"/>
      <c r="B43" s="186" t="inlineStr"/>
      <c r="C43" s="186" t="inlineStr"/>
      <c r="D43" s="186" t="inlineStr"/>
      <c r="E43" s="188" t="n">
        <v>0</v>
      </c>
      <c r="F43" s="188" t="n">
        <v>0</v>
      </c>
      <c r="G43" s="189">
        <f>E43-F43</f>
        <v/>
      </c>
      <c r="H43" s="197" t="inlineStr"/>
      <c r="I43" s="197" t="inlineStr"/>
      <c r="J43" s="192" t="inlineStr"/>
    </row>
    <row r="44" ht="20" customHeight="1">
      <c r="A44" s="193" t="inlineStr"/>
      <c r="B44" s="193" t="inlineStr"/>
      <c r="C44" s="193" t="inlineStr"/>
      <c r="D44" s="193" t="inlineStr"/>
      <c r="E44" s="188" t="n">
        <v>0</v>
      </c>
      <c r="F44" s="188" t="n">
        <v>0</v>
      </c>
      <c r="G44" s="189">
        <f>E44-F44</f>
        <v/>
      </c>
      <c r="H44" s="197" t="inlineStr"/>
      <c r="I44" s="197" t="inlineStr"/>
      <c r="J44" s="192" t="inlineStr"/>
    </row>
    <row r="45" ht="20" customHeight="1">
      <c r="A45" s="186" t="inlineStr"/>
      <c r="B45" s="186" t="inlineStr"/>
      <c r="C45" s="186" t="inlineStr"/>
      <c r="D45" s="186" t="inlineStr"/>
      <c r="E45" s="188" t="n">
        <v>0</v>
      </c>
      <c r="F45" s="188" t="n">
        <v>0</v>
      </c>
      <c r="G45" s="189">
        <f>E45-F45</f>
        <v/>
      </c>
      <c r="H45" s="197" t="inlineStr"/>
      <c r="I45" s="197" t="inlineStr"/>
      <c r="J45" s="192" t="inlineStr"/>
    </row>
    <row r="46" ht="20" customHeight="1">
      <c r="A46" s="193" t="inlineStr"/>
      <c r="B46" s="193" t="inlineStr"/>
      <c r="C46" s="193" t="inlineStr"/>
      <c r="D46" s="193" t="inlineStr"/>
      <c r="E46" s="188" t="n">
        <v>0</v>
      </c>
      <c r="F46" s="188" t="n">
        <v>0</v>
      </c>
      <c r="G46" s="189">
        <f>E46-F46</f>
        <v/>
      </c>
      <c r="H46" s="197" t="inlineStr"/>
      <c r="I46" s="197" t="inlineStr"/>
      <c r="J46" s="192" t="inlineStr"/>
    </row>
    <row r="47" ht="20" customHeight="1">
      <c r="A47" s="186" t="inlineStr"/>
      <c r="B47" s="186" t="inlineStr"/>
      <c r="C47" s="186" t="inlineStr"/>
      <c r="D47" s="186" t="inlineStr"/>
      <c r="E47" s="188" t="n">
        <v>0</v>
      </c>
      <c r="F47" s="188" t="n">
        <v>0</v>
      </c>
      <c r="G47" s="189">
        <f>E47-F47</f>
        <v/>
      </c>
      <c r="H47" s="197" t="inlineStr"/>
      <c r="I47" s="197" t="inlineStr"/>
      <c r="J47" s="192" t="inlineStr"/>
    </row>
    <row r="48" ht="20" customHeight="1">
      <c r="A48" s="193" t="inlineStr"/>
      <c r="B48" s="193" t="inlineStr"/>
      <c r="C48" s="193" t="inlineStr"/>
      <c r="D48" s="193" t="inlineStr"/>
      <c r="E48" s="188" t="n">
        <v>0</v>
      </c>
      <c r="F48" s="188" t="n">
        <v>0</v>
      </c>
      <c r="G48" s="189">
        <f>E48-F48</f>
        <v/>
      </c>
      <c r="H48" s="197" t="inlineStr"/>
      <c r="I48" s="197" t="inlineStr"/>
      <c r="J48" s="192" t="inlineStr"/>
    </row>
    <row r="49" ht="20" customHeight="1">
      <c r="A49" s="186" t="inlineStr"/>
      <c r="B49" s="186" t="inlineStr"/>
      <c r="C49" s="186" t="inlineStr"/>
      <c r="D49" s="186" t="inlineStr"/>
      <c r="E49" s="188" t="n">
        <v>0</v>
      </c>
      <c r="F49" s="188" t="n">
        <v>0</v>
      </c>
      <c r="G49" s="189">
        <f>E49-F49</f>
        <v/>
      </c>
      <c r="H49" s="197" t="inlineStr"/>
      <c r="I49" s="197" t="inlineStr"/>
      <c r="J49" s="192" t="inlineStr"/>
    </row>
    <row r="50" ht="20" customHeight="1">
      <c r="A50" s="193" t="inlineStr"/>
      <c r="B50" s="193" t="inlineStr"/>
      <c r="C50" s="193" t="inlineStr"/>
      <c r="D50" s="193" t="inlineStr"/>
      <c r="E50" s="188" t="n">
        <v>0</v>
      </c>
      <c r="F50" s="188" t="n">
        <v>0</v>
      </c>
      <c r="G50" s="189">
        <f>E50-F50</f>
        <v/>
      </c>
      <c r="H50" s="197" t="inlineStr"/>
      <c r="I50" s="197" t="inlineStr"/>
      <c r="J50" s="192" t="inlineStr"/>
    </row>
    <row r="51" ht="20" customHeight="1">
      <c r="A51" s="186" t="inlineStr"/>
      <c r="B51" s="186" t="inlineStr"/>
      <c r="C51" s="186" t="inlineStr"/>
      <c r="D51" s="186" t="inlineStr"/>
      <c r="E51" s="188" t="n">
        <v>0</v>
      </c>
      <c r="F51" s="188" t="n">
        <v>0</v>
      </c>
      <c r="G51" s="189">
        <f>E51-F51</f>
        <v/>
      </c>
      <c r="H51" s="197" t="inlineStr"/>
      <c r="I51" s="197" t="inlineStr"/>
      <c r="J51" s="192" t="inlineStr"/>
    </row>
    <row r="52" ht="20" customHeight="1">
      <c r="A52" s="193" t="inlineStr"/>
      <c r="B52" s="193" t="inlineStr"/>
      <c r="C52" s="193" t="inlineStr"/>
      <c r="D52" s="193" t="inlineStr"/>
      <c r="E52" s="188" t="n">
        <v>0</v>
      </c>
      <c r="F52" s="188" t="n">
        <v>0</v>
      </c>
      <c r="G52" s="189">
        <f>E52-F52</f>
        <v/>
      </c>
      <c r="H52" s="197" t="inlineStr"/>
      <c r="I52" s="197" t="inlineStr"/>
      <c r="J52" s="192" t="inlineStr"/>
    </row>
    <row r="53" ht="20" customHeight="1">
      <c r="A53" s="186" t="inlineStr"/>
      <c r="B53" s="186" t="inlineStr"/>
      <c r="C53" s="186" t="inlineStr"/>
      <c r="D53" s="186" t="inlineStr"/>
      <c r="E53" s="188" t="n">
        <v>0</v>
      </c>
      <c r="F53" s="188" t="n">
        <v>0</v>
      </c>
      <c r="G53" s="189">
        <f>E53-F53</f>
        <v/>
      </c>
      <c r="H53" s="197" t="inlineStr"/>
      <c r="I53" s="197" t="inlineStr"/>
      <c r="J53" s="192" t="inlineStr"/>
    </row>
    <row r="54" ht="20" customHeight="1">
      <c r="A54" s="193" t="inlineStr"/>
      <c r="B54" s="193" t="inlineStr"/>
      <c r="C54" s="193" t="inlineStr"/>
      <c r="D54" s="193" t="inlineStr"/>
      <c r="E54" s="188" t="n">
        <v>0</v>
      </c>
      <c r="F54" s="188" t="n">
        <v>0</v>
      </c>
      <c r="G54" s="189">
        <f>E54-F54</f>
        <v/>
      </c>
      <c r="H54" s="197" t="inlineStr"/>
      <c r="I54" s="197" t="inlineStr"/>
      <c r="J54" s="192" t="inlineStr"/>
    </row>
    <row r="55" ht="20" customHeight="1">
      <c r="A55" s="186" t="inlineStr"/>
      <c r="B55" s="186" t="inlineStr"/>
      <c r="C55" s="186" t="inlineStr"/>
      <c r="D55" s="186" t="inlineStr"/>
      <c r="E55" s="188" t="n">
        <v>0</v>
      </c>
      <c r="F55" s="188" t="n">
        <v>0</v>
      </c>
      <c r="G55" s="189">
        <f>E55-F55</f>
        <v/>
      </c>
      <c r="H55" s="197" t="inlineStr"/>
      <c r="I55" s="197" t="inlineStr"/>
      <c r="J55" s="192" t="inlineStr"/>
    </row>
    <row r="56" ht="20" customHeight="1">
      <c r="A56" s="193" t="inlineStr"/>
      <c r="B56" s="193" t="inlineStr"/>
      <c r="C56" s="193" t="inlineStr"/>
      <c r="D56" s="193" t="inlineStr"/>
      <c r="E56" s="188" t="n">
        <v>0</v>
      </c>
      <c r="F56" s="188" t="n">
        <v>0</v>
      </c>
      <c r="G56" s="189">
        <f>E56-F56</f>
        <v/>
      </c>
      <c r="H56" s="197" t="inlineStr"/>
      <c r="I56" s="197" t="inlineStr"/>
      <c r="J56" s="192" t="inlineStr"/>
    </row>
    <row r="57" ht="20" customHeight="1">
      <c r="A57" s="186" t="inlineStr"/>
      <c r="B57" s="186" t="inlineStr"/>
      <c r="C57" s="186" t="inlineStr"/>
      <c r="D57" s="186" t="inlineStr"/>
      <c r="E57" s="188" t="n">
        <v>0</v>
      </c>
      <c r="F57" s="188" t="n">
        <v>0</v>
      </c>
      <c r="G57" s="189">
        <f>E57-F57</f>
        <v/>
      </c>
      <c r="H57" s="197" t="inlineStr"/>
      <c r="I57" s="197" t="inlineStr"/>
      <c r="J57" s="192" t="inlineStr"/>
    </row>
    <row r="58" ht="20" customHeight="1">
      <c r="A58" s="193" t="inlineStr"/>
      <c r="B58" s="193" t="inlineStr"/>
      <c r="C58" s="193" t="inlineStr"/>
      <c r="D58" s="193" t="inlineStr"/>
      <c r="E58" s="188" t="n">
        <v>0</v>
      </c>
      <c r="F58" s="188" t="n">
        <v>0</v>
      </c>
      <c r="G58" s="189">
        <f>E58-F58</f>
        <v/>
      </c>
      <c r="H58" s="197" t="inlineStr"/>
      <c r="I58" s="197" t="inlineStr"/>
      <c r="J58" s="192" t="inlineStr"/>
    </row>
    <row r="59" ht="20" customHeight="1">
      <c r="A59" s="186" t="inlineStr"/>
      <c r="B59" s="186" t="inlineStr"/>
      <c r="C59" s="186" t="inlineStr"/>
      <c r="D59" s="186" t="inlineStr"/>
      <c r="E59" s="188" t="n">
        <v>0</v>
      </c>
      <c r="F59" s="188" t="n">
        <v>0</v>
      </c>
      <c r="G59" s="189">
        <f>E59-F59</f>
        <v/>
      </c>
      <c r="H59" s="197" t="inlineStr"/>
      <c r="I59" s="197" t="inlineStr"/>
      <c r="J59" s="192" t="inlineStr"/>
    </row>
    <row r="60" ht="20" customHeight="1">
      <c r="A60" s="193" t="inlineStr"/>
      <c r="B60" s="193" t="inlineStr"/>
      <c r="C60" s="193" t="inlineStr"/>
      <c r="D60" s="193" t="inlineStr"/>
      <c r="E60" s="188" t="n">
        <v>0</v>
      </c>
      <c r="F60" s="188" t="n">
        <v>0</v>
      </c>
      <c r="G60" s="189">
        <f>E60-F60</f>
        <v/>
      </c>
      <c r="H60" s="197" t="inlineStr"/>
      <c r="I60" s="197" t="inlineStr"/>
      <c r="J60" s="192" t="inlineStr"/>
    </row>
    <row r="61" ht="20" customHeight="1">
      <c r="A61" s="186" t="inlineStr"/>
      <c r="B61" s="186" t="inlineStr"/>
      <c r="C61" s="186" t="inlineStr"/>
      <c r="D61" s="186" t="inlineStr"/>
      <c r="E61" s="188" t="n">
        <v>0</v>
      </c>
      <c r="F61" s="188" t="n">
        <v>0</v>
      </c>
      <c r="G61" s="189">
        <f>E61-F61</f>
        <v/>
      </c>
      <c r="H61" s="197" t="inlineStr"/>
      <c r="I61" s="197" t="inlineStr"/>
      <c r="J61" s="192" t="inlineStr"/>
    </row>
    <row r="62" ht="20" customHeight="1">
      <c r="A62" s="193" t="inlineStr"/>
      <c r="B62" s="193" t="inlineStr"/>
      <c r="C62" s="193" t="inlineStr"/>
      <c r="D62" s="193" t="inlineStr"/>
      <c r="E62" s="188" t="n">
        <v>0</v>
      </c>
      <c r="F62" s="188" t="n">
        <v>0</v>
      </c>
      <c r="G62" s="189">
        <f>E62-F62</f>
        <v/>
      </c>
      <c r="H62" s="197" t="inlineStr"/>
      <c r="I62" s="197" t="inlineStr"/>
      <c r="J62" s="192" t="inlineStr"/>
    </row>
    <row r="63" ht="20" customHeight="1">
      <c r="A63" s="186" t="inlineStr"/>
      <c r="B63" s="186" t="inlineStr"/>
      <c r="C63" s="186" t="inlineStr"/>
      <c r="D63" s="186" t="inlineStr"/>
      <c r="E63" s="188" t="n">
        <v>0</v>
      </c>
      <c r="F63" s="188" t="n">
        <v>0</v>
      </c>
      <c r="G63" s="189">
        <f>E63-F63</f>
        <v/>
      </c>
      <c r="H63" s="197" t="inlineStr"/>
      <c r="I63" s="197" t="inlineStr"/>
      <c r="J63" s="192" t="inlineStr"/>
    </row>
    <row r="64" ht="20" customHeight="1">
      <c r="A64" s="193" t="inlineStr"/>
      <c r="B64" s="193" t="inlineStr"/>
      <c r="C64" s="193" t="inlineStr"/>
      <c r="D64" s="193" t="inlineStr"/>
      <c r="E64" s="188" t="n">
        <v>0</v>
      </c>
      <c r="F64" s="188" t="n">
        <v>0</v>
      </c>
      <c r="G64" s="189">
        <f>E64-F64</f>
        <v/>
      </c>
      <c r="H64" s="197" t="inlineStr"/>
      <c r="I64" s="197" t="inlineStr"/>
      <c r="J64" s="192" t="inlineStr"/>
    </row>
    <row r="65" ht="20" customHeight="1">
      <c r="A65" s="186" t="inlineStr"/>
      <c r="B65" s="186" t="inlineStr"/>
      <c r="C65" s="186" t="inlineStr"/>
      <c r="D65" s="186" t="inlineStr"/>
      <c r="E65" s="188" t="n">
        <v>0</v>
      </c>
      <c r="F65" s="188" t="n">
        <v>0</v>
      </c>
      <c r="G65" s="189">
        <f>E65-F65</f>
        <v/>
      </c>
      <c r="H65" s="197" t="inlineStr"/>
      <c r="I65" s="197" t="inlineStr"/>
      <c r="J65" s="192" t="inlineStr"/>
    </row>
    <row r="66" ht="20" customHeight="1">
      <c r="A66" s="193" t="inlineStr"/>
      <c r="B66" s="193" t="inlineStr"/>
      <c r="C66" s="193" t="inlineStr"/>
      <c r="D66" s="193" t="inlineStr"/>
      <c r="E66" s="188" t="n">
        <v>0</v>
      </c>
      <c r="F66" s="188" t="n">
        <v>0</v>
      </c>
      <c r="G66" s="189">
        <f>E66-F66</f>
        <v/>
      </c>
      <c r="H66" s="197" t="inlineStr"/>
      <c r="I66" s="197" t="inlineStr"/>
      <c r="J66" s="192" t="inlineStr"/>
    </row>
    <row r="67" ht="20" customHeight="1">
      <c r="A67" s="186" t="inlineStr"/>
      <c r="B67" s="186" t="inlineStr"/>
      <c r="C67" s="186" t="inlineStr"/>
      <c r="D67" s="186" t="inlineStr"/>
      <c r="E67" s="188" t="n">
        <v>0</v>
      </c>
      <c r="F67" s="188" t="n">
        <v>0</v>
      </c>
      <c r="G67" s="189">
        <f>E67-F67</f>
        <v/>
      </c>
      <c r="H67" s="197" t="inlineStr"/>
      <c r="I67" s="197" t="inlineStr"/>
      <c r="J67" s="192" t="inlineStr"/>
    </row>
    <row r="68" ht="20" customHeight="1">
      <c r="A68" s="193" t="inlineStr"/>
      <c r="B68" s="193" t="inlineStr"/>
      <c r="C68" s="193" t="inlineStr"/>
      <c r="D68" s="193" t="inlineStr"/>
      <c r="E68" s="188" t="n">
        <v>0</v>
      </c>
      <c r="F68" s="188" t="n">
        <v>0</v>
      </c>
      <c r="G68" s="189">
        <f>E68-F68</f>
        <v/>
      </c>
      <c r="H68" s="197" t="inlineStr"/>
      <c r="I68" s="197" t="inlineStr"/>
      <c r="J68" s="192" t="inlineStr"/>
    </row>
    <row r="69" ht="20" customHeight="1">
      <c r="A69" s="186" t="inlineStr"/>
      <c r="B69" s="186" t="inlineStr"/>
      <c r="C69" s="186" t="inlineStr"/>
      <c r="D69" s="186" t="inlineStr"/>
      <c r="E69" s="188" t="n">
        <v>0</v>
      </c>
      <c r="F69" s="188" t="n">
        <v>0</v>
      </c>
      <c r="G69" s="189">
        <f>E69-F69</f>
        <v/>
      </c>
      <c r="H69" s="197" t="inlineStr"/>
      <c r="I69" s="197" t="inlineStr"/>
      <c r="J69" s="192" t="inlineStr"/>
    </row>
    <row r="70" ht="20" customHeight="1">
      <c r="A70" s="193" t="inlineStr"/>
      <c r="B70" s="193" t="inlineStr"/>
      <c r="C70" s="193" t="inlineStr"/>
      <c r="D70" s="193" t="inlineStr"/>
      <c r="E70" s="188" t="n">
        <v>0</v>
      </c>
      <c r="F70" s="188" t="n">
        <v>0</v>
      </c>
      <c r="G70" s="189">
        <f>E70-F70</f>
        <v/>
      </c>
      <c r="H70" s="197" t="inlineStr"/>
      <c r="I70" s="197" t="inlineStr"/>
      <c r="J70" s="192" t="inlineStr"/>
    </row>
    <row r="71" ht="20" customHeight="1">
      <c r="A71" s="186" t="inlineStr"/>
      <c r="B71" s="186" t="inlineStr"/>
      <c r="C71" s="186" t="inlineStr"/>
      <c r="D71" s="186" t="inlineStr"/>
      <c r="E71" s="188" t="n">
        <v>0</v>
      </c>
      <c r="F71" s="188" t="n">
        <v>0</v>
      </c>
      <c r="G71" s="189">
        <f>E71-F71</f>
        <v/>
      </c>
      <c r="H71" s="197" t="inlineStr"/>
      <c r="I71" s="197" t="inlineStr"/>
      <c r="J71" s="192" t="inlineStr"/>
    </row>
    <row r="72" ht="20" customHeight="1">
      <c r="A72" s="193" t="inlineStr"/>
      <c r="B72" s="193" t="inlineStr"/>
      <c r="C72" s="193" t="inlineStr"/>
      <c r="D72" s="193" t="inlineStr"/>
      <c r="E72" s="188" t="n">
        <v>0</v>
      </c>
      <c r="F72" s="188" t="n">
        <v>0</v>
      </c>
      <c r="G72" s="189">
        <f>E72-F72</f>
        <v/>
      </c>
      <c r="H72" s="197" t="inlineStr"/>
      <c r="I72" s="197" t="inlineStr"/>
      <c r="J72" s="192" t="inlineStr"/>
    </row>
    <row r="73" ht="20" customHeight="1">
      <c r="A73" s="186" t="inlineStr"/>
      <c r="B73" s="186" t="inlineStr"/>
      <c r="C73" s="186" t="inlineStr"/>
      <c r="D73" s="186" t="inlineStr"/>
      <c r="E73" s="188" t="n">
        <v>0</v>
      </c>
      <c r="F73" s="188" t="n">
        <v>0</v>
      </c>
      <c r="G73" s="189">
        <f>E73-F73</f>
        <v/>
      </c>
      <c r="H73" s="197" t="inlineStr"/>
      <c r="I73" s="197" t="inlineStr"/>
      <c r="J73" s="192" t="inlineStr"/>
    </row>
    <row r="74" ht="20" customHeight="1">
      <c r="A74" s="193" t="inlineStr"/>
      <c r="B74" s="193" t="inlineStr"/>
      <c r="C74" s="193" t="inlineStr"/>
      <c r="D74" s="193" t="inlineStr"/>
      <c r="E74" s="188" t="n">
        <v>0</v>
      </c>
      <c r="F74" s="188" t="n">
        <v>0</v>
      </c>
      <c r="G74" s="189">
        <f>E74-F74</f>
        <v/>
      </c>
      <c r="H74" s="197" t="inlineStr"/>
      <c r="I74" s="197" t="inlineStr"/>
      <c r="J74" s="192" t="inlineStr"/>
    </row>
    <row r="75" ht="20" customHeight="1">
      <c r="A75" s="186" t="inlineStr"/>
      <c r="B75" s="186" t="inlineStr"/>
      <c r="C75" s="186" t="inlineStr"/>
      <c r="D75" s="186" t="inlineStr"/>
      <c r="E75" s="188" t="n">
        <v>0</v>
      </c>
      <c r="F75" s="188" t="n">
        <v>0</v>
      </c>
      <c r="G75" s="189">
        <f>E75-F75</f>
        <v/>
      </c>
      <c r="H75" s="197" t="inlineStr"/>
      <c r="I75" s="197" t="inlineStr"/>
      <c r="J75" s="192" t="inlineStr"/>
    </row>
    <row r="76" ht="20" customHeight="1">
      <c r="A76" s="193" t="inlineStr"/>
      <c r="B76" s="193" t="inlineStr"/>
      <c r="C76" s="193" t="inlineStr"/>
      <c r="D76" s="193" t="inlineStr"/>
      <c r="E76" s="188" t="n">
        <v>0</v>
      </c>
      <c r="F76" s="188" t="n">
        <v>0</v>
      </c>
      <c r="G76" s="189">
        <f>E76-F76</f>
        <v/>
      </c>
      <c r="H76" s="197" t="inlineStr"/>
      <c r="I76" s="197" t="inlineStr"/>
      <c r="J76" s="192" t="inlineStr"/>
    </row>
    <row r="77" ht="20" customHeight="1">
      <c r="A77" s="186" t="inlineStr"/>
      <c r="B77" s="186" t="inlineStr"/>
      <c r="C77" s="186" t="inlineStr"/>
      <c r="D77" s="186" t="inlineStr"/>
      <c r="E77" s="188" t="n">
        <v>0</v>
      </c>
      <c r="F77" s="188" t="n">
        <v>0</v>
      </c>
      <c r="G77" s="189">
        <f>E77-F77</f>
        <v/>
      </c>
      <c r="H77" s="197" t="inlineStr"/>
      <c r="I77" s="197" t="inlineStr"/>
      <c r="J77" s="192" t="inlineStr"/>
    </row>
    <row r="78" ht="20" customHeight="1">
      <c r="A78" s="193" t="inlineStr"/>
      <c r="B78" s="193" t="inlineStr"/>
      <c r="C78" s="193" t="inlineStr"/>
      <c r="D78" s="193" t="inlineStr"/>
      <c r="E78" s="188" t="n">
        <v>0</v>
      </c>
      <c r="F78" s="188" t="n">
        <v>0</v>
      </c>
      <c r="G78" s="189">
        <f>E78-F78</f>
        <v/>
      </c>
      <c r="H78" s="197" t="inlineStr"/>
      <c r="I78" s="197" t="inlineStr"/>
      <c r="J78" s="192" t="inlineStr"/>
    </row>
    <row r="79" ht="20" customHeight="1">
      <c r="A79" s="186" t="inlineStr"/>
      <c r="B79" s="186" t="inlineStr"/>
      <c r="C79" s="186" t="inlineStr"/>
      <c r="D79" s="186" t="inlineStr"/>
      <c r="E79" s="188" t="n">
        <v>0</v>
      </c>
      <c r="F79" s="188" t="n">
        <v>0</v>
      </c>
      <c r="G79" s="189">
        <f>E79-F79</f>
        <v/>
      </c>
      <c r="H79" s="197" t="inlineStr"/>
      <c r="I79" s="197" t="inlineStr"/>
      <c r="J79" s="192" t="inlineStr"/>
    </row>
    <row r="80" ht="20" customHeight="1">
      <c r="A80" s="193" t="inlineStr"/>
      <c r="B80" s="193" t="inlineStr"/>
      <c r="C80" s="193" t="inlineStr"/>
      <c r="D80" s="193" t="inlineStr"/>
      <c r="E80" s="188" t="n">
        <v>0</v>
      </c>
      <c r="F80" s="188" t="n">
        <v>0</v>
      </c>
      <c r="G80" s="189">
        <f>E80-F80</f>
        <v/>
      </c>
      <c r="H80" s="197" t="inlineStr"/>
      <c r="I80" s="197" t="inlineStr"/>
      <c r="J80" s="192" t="inlineStr"/>
    </row>
    <row r="81" ht="20" customHeight="1">
      <c r="A81" s="186" t="inlineStr"/>
      <c r="B81" s="186" t="inlineStr"/>
      <c r="C81" s="186" t="inlineStr"/>
      <c r="D81" s="186" t="inlineStr"/>
      <c r="E81" s="188" t="n">
        <v>0</v>
      </c>
      <c r="F81" s="188" t="n">
        <v>0</v>
      </c>
      <c r="G81" s="189">
        <f>E81-F81</f>
        <v/>
      </c>
      <c r="H81" s="197" t="inlineStr"/>
      <c r="I81" s="197" t="inlineStr"/>
      <c r="J81" s="192" t="inlineStr"/>
    </row>
    <row r="82" ht="20" customHeight="1">
      <c r="A82" s="193" t="inlineStr"/>
      <c r="B82" s="193" t="inlineStr"/>
      <c r="C82" s="193" t="inlineStr"/>
      <c r="D82" s="193" t="inlineStr"/>
      <c r="E82" s="188" t="n">
        <v>0</v>
      </c>
      <c r="F82" s="188" t="n">
        <v>0</v>
      </c>
      <c r="G82" s="189">
        <f>E82-F82</f>
        <v/>
      </c>
      <c r="H82" s="197" t="inlineStr"/>
      <c r="I82" s="197" t="inlineStr"/>
      <c r="J82" s="192" t="inlineStr"/>
    </row>
    <row r="83" ht="20" customHeight="1">
      <c r="A83" s="186" t="inlineStr"/>
      <c r="B83" s="186" t="inlineStr"/>
      <c r="C83" s="186" t="inlineStr"/>
      <c r="D83" s="186" t="inlineStr"/>
      <c r="E83" s="188" t="n">
        <v>0</v>
      </c>
      <c r="F83" s="188" t="n">
        <v>0</v>
      </c>
      <c r="G83" s="189">
        <f>E83-F83</f>
        <v/>
      </c>
      <c r="H83" s="197" t="inlineStr"/>
      <c r="I83" s="197" t="inlineStr"/>
      <c r="J83" s="192" t="inlineStr"/>
    </row>
    <row r="84" ht="20" customHeight="1">
      <c r="A84" s="193" t="inlineStr"/>
      <c r="B84" s="193" t="inlineStr"/>
      <c r="C84" s="193" t="inlineStr"/>
      <c r="D84" s="193" t="inlineStr"/>
      <c r="E84" s="188" t="n">
        <v>0</v>
      </c>
      <c r="F84" s="188" t="n">
        <v>0</v>
      </c>
      <c r="G84" s="189">
        <f>E84-F84</f>
        <v/>
      </c>
      <c r="H84" s="197" t="inlineStr"/>
      <c r="I84" s="197" t="inlineStr"/>
      <c r="J84" s="192" t="inlineStr"/>
    </row>
    <row r="85" ht="20" customHeight="1">
      <c r="A85" s="186" t="inlineStr"/>
      <c r="B85" s="186" t="inlineStr"/>
      <c r="C85" s="186" t="inlineStr"/>
      <c r="D85" s="186" t="inlineStr"/>
      <c r="E85" s="188" t="n">
        <v>0</v>
      </c>
      <c r="F85" s="188" t="n">
        <v>0</v>
      </c>
      <c r="G85" s="189">
        <f>E85-F85</f>
        <v/>
      </c>
      <c r="H85" s="197" t="inlineStr"/>
      <c r="I85" s="197" t="inlineStr"/>
      <c r="J85" s="192" t="inlineStr"/>
    </row>
    <row r="86" ht="20" customHeight="1">
      <c r="A86" s="193" t="inlineStr"/>
      <c r="B86" s="193" t="inlineStr"/>
      <c r="C86" s="193" t="inlineStr"/>
      <c r="D86" s="193" t="inlineStr"/>
      <c r="E86" s="188" t="n">
        <v>0</v>
      </c>
      <c r="F86" s="188" t="n">
        <v>0</v>
      </c>
      <c r="G86" s="189">
        <f>E86-F86</f>
        <v/>
      </c>
      <c r="H86" s="197" t="inlineStr"/>
      <c r="I86" s="197" t="inlineStr"/>
      <c r="J86" s="192" t="inlineStr"/>
    </row>
    <row r="87" ht="20" customHeight="1">
      <c r="A87" s="186" t="inlineStr"/>
      <c r="B87" s="186" t="inlineStr"/>
      <c r="C87" s="186" t="inlineStr"/>
      <c r="D87" s="186" t="inlineStr"/>
      <c r="E87" s="188" t="n">
        <v>0</v>
      </c>
      <c r="F87" s="188" t="n">
        <v>0</v>
      </c>
      <c r="G87" s="189">
        <f>E87-F87</f>
        <v/>
      </c>
      <c r="H87" s="197" t="inlineStr"/>
      <c r="I87" s="197" t="inlineStr"/>
      <c r="J87" s="192" t="inlineStr"/>
    </row>
    <row r="88" ht="20" customHeight="1">
      <c r="A88" s="193" t="inlineStr"/>
      <c r="B88" s="193" t="inlineStr"/>
      <c r="C88" s="193" t="inlineStr"/>
      <c r="D88" s="193" t="inlineStr"/>
      <c r="E88" s="188" t="n">
        <v>0</v>
      </c>
      <c r="F88" s="188" t="n">
        <v>0</v>
      </c>
      <c r="G88" s="189">
        <f>E88-F88</f>
        <v/>
      </c>
      <c r="H88" s="197" t="inlineStr"/>
      <c r="I88" s="197" t="inlineStr"/>
      <c r="J88" s="192" t="inlineStr"/>
    </row>
    <row r="89" ht="20" customHeight="1">
      <c r="A89" s="186" t="inlineStr"/>
      <c r="B89" s="186" t="inlineStr"/>
      <c r="C89" s="186" t="inlineStr"/>
      <c r="D89" s="186" t="inlineStr"/>
      <c r="E89" s="188" t="n">
        <v>0</v>
      </c>
      <c r="F89" s="188" t="n">
        <v>0</v>
      </c>
      <c r="G89" s="189">
        <f>E89-F89</f>
        <v/>
      </c>
      <c r="H89" s="197" t="inlineStr"/>
      <c r="I89" s="197" t="inlineStr"/>
      <c r="J89" s="192" t="inlineStr"/>
    </row>
    <row r="90" ht="20" customHeight="1">
      <c r="A90" s="193" t="inlineStr"/>
      <c r="B90" s="193" t="inlineStr"/>
      <c r="C90" s="193" t="inlineStr"/>
      <c r="D90" s="193" t="inlineStr"/>
      <c r="E90" s="188" t="n">
        <v>0</v>
      </c>
      <c r="F90" s="188" t="n">
        <v>0</v>
      </c>
      <c r="G90" s="189">
        <f>E90-F90</f>
        <v/>
      </c>
      <c r="H90" s="197" t="inlineStr"/>
      <c r="I90" s="197" t="inlineStr"/>
      <c r="J90" s="192" t="inlineStr"/>
    </row>
    <row r="91" ht="20" customHeight="1">
      <c r="A91" s="186" t="inlineStr"/>
      <c r="B91" s="186" t="inlineStr"/>
      <c r="C91" s="186" t="inlineStr"/>
      <c r="D91" s="186" t="inlineStr"/>
      <c r="E91" s="188" t="n">
        <v>0</v>
      </c>
      <c r="F91" s="188" t="n">
        <v>0</v>
      </c>
      <c r="G91" s="189">
        <f>E91-F91</f>
        <v/>
      </c>
      <c r="H91" s="197" t="inlineStr"/>
      <c r="I91" s="197" t="inlineStr"/>
      <c r="J91" s="192" t="inlineStr"/>
    </row>
    <row r="92" ht="20" customHeight="1">
      <c r="A92" s="193" t="inlineStr"/>
      <c r="B92" s="193" t="inlineStr"/>
      <c r="C92" s="193" t="inlineStr"/>
      <c r="D92" s="193" t="inlineStr"/>
      <c r="E92" s="188" t="n">
        <v>0</v>
      </c>
      <c r="F92" s="188" t="n">
        <v>0</v>
      </c>
      <c r="G92" s="189">
        <f>E92-F92</f>
        <v/>
      </c>
      <c r="H92" s="197" t="inlineStr"/>
      <c r="I92" s="197" t="inlineStr"/>
      <c r="J92" s="192" t="inlineStr"/>
    </row>
    <row r="93" ht="20" customHeight="1">
      <c r="A93" s="186" t="inlineStr"/>
      <c r="B93" s="186" t="inlineStr"/>
      <c r="C93" s="186" t="inlineStr"/>
      <c r="D93" s="186" t="inlineStr"/>
      <c r="E93" s="188" t="n">
        <v>0</v>
      </c>
      <c r="F93" s="188" t="n">
        <v>0</v>
      </c>
      <c r="G93" s="189">
        <f>E93-F93</f>
        <v/>
      </c>
      <c r="H93" s="197" t="inlineStr"/>
      <c r="I93" s="197" t="inlineStr"/>
      <c r="J93" s="192" t="inlineStr"/>
    </row>
    <row r="94" ht="20" customHeight="1">
      <c r="A94" s="193" t="inlineStr"/>
      <c r="B94" s="193" t="inlineStr"/>
      <c r="C94" s="193" t="inlineStr"/>
      <c r="D94" s="193" t="inlineStr"/>
      <c r="E94" s="188" t="n">
        <v>0</v>
      </c>
      <c r="F94" s="188" t="n">
        <v>0</v>
      </c>
      <c r="G94" s="189">
        <f>E94-F94</f>
        <v/>
      </c>
      <c r="H94" s="197" t="inlineStr"/>
      <c r="I94" s="197" t="inlineStr"/>
      <c r="J94" s="192" t="inlineStr"/>
    </row>
    <row r="95" ht="20" customHeight="1">
      <c r="A95" s="186" t="inlineStr"/>
      <c r="B95" s="186" t="inlineStr"/>
      <c r="C95" s="186" t="inlineStr"/>
      <c r="D95" s="186" t="inlineStr"/>
      <c r="E95" s="188" t="n">
        <v>0</v>
      </c>
      <c r="F95" s="188" t="n">
        <v>0</v>
      </c>
      <c r="G95" s="189">
        <f>E95-F95</f>
        <v/>
      </c>
      <c r="H95" s="197" t="inlineStr"/>
      <c r="I95" s="197" t="inlineStr"/>
      <c r="J95" s="192" t="inlineStr"/>
    </row>
    <row r="96" ht="20" customHeight="1">
      <c r="A96" s="193" t="inlineStr"/>
      <c r="B96" s="193" t="inlineStr"/>
      <c r="C96" s="193" t="inlineStr"/>
      <c r="D96" s="193" t="inlineStr"/>
      <c r="E96" s="188" t="n">
        <v>0</v>
      </c>
      <c r="F96" s="188" t="n">
        <v>0</v>
      </c>
      <c r="G96" s="189">
        <f>E96-F96</f>
        <v/>
      </c>
      <c r="H96" s="197" t="inlineStr"/>
      <c r="I96" s="197" t="inlineStr"/>
      <c r="J96" s="192" t="inlineStr"/>
    </row>
    <row r="97" ht="20" customHeight="1">
      <c r="A97" s="186" t="inlineStr"/>
      <c r="B97" s="186" t="inlineStr"/>
      <c r="C97" s="186" t="inlineStr"/>
      <c r="D97" s="186" t="inlineStr"/>
      <c r="E97" s="188" t="n">
        <v>0</v>
      </c>
      <c r="F97" s="188" t="n">
        <v>0</v>
      </c>
      <c r="G97" s="189">
        <f>E97-F97</f>
        <v/>
      </c>
      <c r="H97" s="197" t="inlineStr"/>
      <c r="I97" s="197" t="inlineStr"/>
      <c r="J97" s="192" t="inlineStr"/>
    </row>
    <row r="98" ht="20" customHeight="1">
      <c r="A98" s="193" t="inlineStr"/>
      <c r="B98" s="193" t="inlineStr"/>
      <c r="C98" s="193" t="inlineStr"/>
      <c r="D98" s="193" t="inlineStr"/>
      <c r="E98" s="188" t="n">
        <v>0</v>
      </c>
      <c r="F98" s="188" t="n">
        <v>0</v>
      </c>
      <c r="G98" s="189">
        <f>E98-F98</f>
        <v/>
      </c>
      <c r="H98" s="197" t="inlineStr"/>
      <c r="I98" s="197" t="inlineStr"/>
      <c r="J98" s="192" t="inlineStr"/>
    </row>
    <row r="99" ht="20" customHeight="1">
      <c r="A99" s="186" t="inlineStr"/>
      <c r="B99" s="186" t="inlineStr"/>
      <c r="C99" s="186" t="inlineStr"/>
      <c r="D99" s="186" t="inlineStr"/>
      <c r="E99" s="188" t="n">
        <v>0</v>
      </c>
      <c r="F99" s="188" t="n">
        <v>0</v>
      </c>
      <c r="G99" s="189">
        <f>E99-F99</f>
        <v/>
      </c>
      <c r="H99" s="197" t="inlineStr"/>
      <c r="I99" s="197" t="inlineStr"/>
      <c r="J99" s="192" t="inlineStr"/>
    </row>
    <row r="100" ht="20" customHeight="1">
      <c r="A100" s="193" t="inlineStr"/>
      <c r="B100" s="193" t="inlineStr"/>
      <c r="C100" s="193" t="inlineStr"/>
      <c r="D100" s="193" t="inlineStr"/>
      <c r="E100" s="188" t="n">
        <v>0</v>
      </c>
      <c r="F100" s="188" t="n">
        <v>0</v>
      </c>
      <c r="G100" s="189">
        <f>E100-F100</f>
        <v/>
      </c>
      <c r="H100" s="197" t="inlineStr"/>
      <c r="I100" s="197" t="inlineStr"/>
      <c r="J100" s="192" t="inlineStr"/>
    </row>
    <row r="101" ht="20" customHeight="1">
      <c r="A101" s="186" t="inlineStr"/>
      <c r="B101" s="186" t="inlineStr"/>
      <c r="C101" s="186" t="inlineStr"/>
      <c r="D101" s="186" t="inlineStr"/>
      <c r="E101" s="188" t="n">
        <v>0</v>
      </c>
      <c r="F101" s="188" t="n">
        <v>0</v>
      </c>
      <c r="G101" s="189">
        <f>E101-F101</f>
        <v/>
      </c>
      <c r="H101" s="197" t="inlineStr"/>
      <c r="I101" s="197" t="inlineStr"/>
      <c r="J101" s="192" t="inlineStr"/>
    </row>
    <row r="102" ht="20" customHeight="1">
      <c r="A102" s="193" t="inlineStr"/>
      <c r="B102" s="193" t="inlineStr"/>
      <c r="C102" s="193" t="inlineStr"/>
      <c r="D102" s="193" t="inlineStr"/>
      <c r="E102" s="188" t="n">
        <v>0</v>
      </c>
      <c r="F102" s="188" t="n">
        <v>0</v>
      </c>
      <c r="G102" s="189">
        <f>E102-F102</f>
        <v/>
      </c>
      <c r="H102" s="197" t="inlineStr"/>
      <c r="I102" s="197" t="inlineStr"/>
      <c r="J102" s="192" t="inlineStr"/>
    </row>
    <row r="103" ht="20" customHeight="1">
      <c r="A103" s="186" t="inlineStr"/>
      <c r="B103" s="186" t="inlineStr"/>
      <c r="C103" s="186" t="inlineStr"/>
      <c r="D103" s="186" t="inlineStr"/>
      <c r="E103" s="188" t="n">
        <v>0</v>
      </c>
      <c r="F103" s="188" t="n">
        <v>0</v>
      </c>
      <c r="G103" s="189">
        <f>E103-F103</f>
        <v/>
      </c>
      <c r="H103" s="197" t="inlineStr"/>
      <c r="I103" s="197" t="inlineStr"/>
      <c r="J103" s="192" t="inlineStr"/>
    </row>
    <row r="104" ht="20" customHeight="1">
      <c r="A104" s="193" t="inlineStr"/>
      <c r="B104" s="193" t="inlineStr"/>
      <c r="C104" s="193" t="inlineStr"/>
      <c r="D104" s="193" t="inlineStr"/>
      <c r="E104" s="188" t="n">
        <v>0</v>
      </c>
      <c r="F104" s="188" t="n">
        <v>0</v>
      </c>
      <c r="G104" s="189">
        <f>E104-F104</f>
        <v/>
      </c>
      <c r="H104" s="197" t="inlineStr"/>
      <c r="I104" s="197" t="inlineStr"/>
      <c r="J104" s="192" t="inlineStr"/>
    </row>
    <row r="107">
      <c r="A107" s="2" t="inlineStr">
        <is>
          <t>HIGH-PRIORITY LEDGER SCRUTINY LIST — MARK STATUS WHEN REVIEWED</t>
        </is>
      </c>
    </row>
    <row r="108">
      <c r="A108" s="185" t="inlineStr">
        <is>
          <t>Ledger</t>
        </is>
      </c>
      <c r="B108" s="185" t="inlineStr">
        <is>
          <t>Key Risk Areas</t>
        </is>
      </c>
      <c r="C108" s="185" t="inlineStr">
        <is>
          <t>Tax Section</t>
        </is>
      </c>
      <c r="D108" s="185" t="inlineStr">
        <is>
          <t>Status</t>
        </is>
      </c>
      <c r="E108" s="185" t="inlineStr">
        <is>
          <t>Observation</t>
        </is>
      </c>
      <c r="F108" s="185" t="inlineStr">
        <is>
          <t>Query?</t>
        </is>
      </c>
    </row>
    <row r="109" ht="35" customHeight="1">
      <c r="A109" s="198" t="inlineStr">
        <is>
          <t>Cash Account</t>
        </is>
      </c>
      <c r="B109" s="40" t="inlineStr">
        <is>
          <t>Round entries, cash &gt;₹10K (40A(3)), year-end adjustments, directors' withdrawals</t>
        </is>
      </c>
      <c r="C109" s="199" t="inlineStr">
        <is>
          <t>Sec 40A(3), 269SS</t>
        </is>
      </c>
      <c r="D109" s="200" t="inlineStr">
        <is>
          <t>Pending ⏳</t>
        </is>
      </c>
      <c r="E109" s="34" t="inlineStr"/>
      <c r="F109" s="197" t="inlineStr">
        <is>
          <t>No</t>
        </is>
      </c>
    </row>
    <row r="110" ht="35" customHeight="1">
      <c r="A110" s="198" t="inlineStr">
        <is>
          <t>Directors' Current A/c</t>
        </is>
      </c>
      <c r="B110" s="34" t="inlineStr">
        <is>
          <t>Personal withdrawals, Sec 185 compliance, deemed dividend Sec 2(22)(e)</t>
        </is>
      </c>
      <c r="C110" s="199" t="inlineStr">
        <is>
          <t>Sec 185, 2(22)(e)</t>
        </is>
      </c>
      <c r="D110" s="200" t="inlineStr">
        <is>
          <t>Pending ⏳</t>
        </is>
      </c>
      <c r="E110" s="34" t="inlineStr"/>
      <c r="F110" s="197" t="inlineStr">
        <is>
          <t>No</t>
        </is>
      </c>
    </row>
    <row r="111" ht="35" customHeight="1">
      <c r="A111" s="198" t="inlineStr">
        <is>
          <t>Salaries &amp; Wages</t>
        </is>
      </c>
      <c r="B111" s="40" t="inlineStr">
        <is>
          <t>Ghost employees, cash salary, PF/ESIC timely deposit, TDS u/s 192</t>
        </is>
      </c>
      <c r="C111" s="199" t="inlineStr">
        <is>
          <t>Sec 192, 36(1)(va)</t>
        </is>
      </c>
      <c r="D111" s="200" t="inlineStr">
        <is>
          <t>Pending ⏳</t>
        </is>
      </c>
      <c r="E111" s="34" t="inlineStr"/>
      <c r="F111" s="197" t="inlineStr">
        <is>
          <t>No</t>
        </is>
      </c>
    </row>
    <row r="112" ht="35" customHeight="1">
      <c r="A112" s="198" t="inlineStr">
        <is>
          <t>Legal &amp; Professional</t>
        </is>
      </c>
      <c r="B112" s="34" t="inlineStr">
        <is>
          <t>RCM u/s 9(3), TDS u/s 194J, fines/penalties disallowance, split invoices</t>
        </is>
      </c>
      <c r="C112" s="199" t="inlineStr">
        <is>
          <t>Sec 194J, 40(a)(ia)</t>
        </is>
      </c>
      <c r="D112" s="200" t="inlineStr">
        <is>
          <t>Pending ⏳</t>
        </is>
      </c>
      <c r="E112" s="34" t="inlineStr"/>
      <c r="F112" s="197" t="inlineStr">
        <is>
          <t>No</t>
        </is>
      </c>
    </row>
    <row r="113" ht="35" customHeight="1">
      <c r="A113" s="198" t="inlineStr">
        <is>
          <t>Repairs &amp; Maintenance</t>
        </is>
      </c>
      <c r="B113" s="40" t="inlineStr">
        <is>
          <t>Capital exp disguised as revenue, year-end JV entries, no supporting</t>
        </is>
      </c>
      <c r="C113" s="199" t="inlineStr">
        <is>
          <t>Sec 37(1)</t>
        </is>
      </c>
      <c r="D113" s="200" t="inlineStr">
        <is>
          <t>Pending ⏳</t>
        </is>
      </c>
      <c r="E113" s="34" t="inlineStr"/>
      <c r="F113" s="197" t="inlineStr">
        <is>
          <t>No</t>
        </is>
      </c>
    </row>
    <row r="114" ht="35" customHeight="1">
      <c r="A114" s="198" t="inlineStr">
        <is>
          <t>Travelling Expenses</t>
        </is>
      </c>
      <c r="B114" s="34" t="inlineStr">
        <is>
          <t>Personal travel, foreign travel (blocked GST ITC), missing boarding pass</t>
        </is>
      </c>
      <c r="C114" s="199" t="inlineStr">
        <is>
          <t>Sec 17(5) — blocked ITC</t>
        </is>
      </c>
      <c r="D114" s="200" t="inlineStr">
        <is>
          <t>Pending ⏳</t>
        </is>
      </c>
      <c r="E114" s="34" t="inlineStr"/>
      <c r="F114" s="197" t="inlineStr">
        <is>
          <t>No</t>
        </is>
      </c>
    </row>
    <row r="115" ht="35" customHeight="1">
      <c r="A115" s="198" t="inlineStr">
        <is>
          <t>Commission &amp; Brokerage</t>
        </is>
      </c>
      <c r="B115" s="40" t="inlineStr">
        <is>
          <t>TDS u/s 194H, related party commission, genuine service verification</t>
        </is>
      </c>
      <c r="C115" s="199" t="inlineStr">
        <is>
          <t>Sec 194H, 40A(2)</t>
        </is>
      </c>
      <c r="D115" s="200" t="inlineStr">
        <is>
          <t>Pending ⏳</t>
        </is>
      </c>
      <c r="E115" s="34" t="inlineStr"/>
      <c r="F115" s="197" t="inlineStr">
        <is>
          <t>No</t>
        </is>
      </c>
    </row>
    <row r="116" ht="35" customHeight="1">
      <c r="A116" s="198" t="inlineStr">
        <is>
          <t>Freight &amp; Cartage</t>
        </is>
      </c>
      <c r="B116" s="34" t="inlineStr">
        <is>
          <t>TDS u/s 194C threshold, transporter PAN, split payments</t>
        </is>
      </c>
      <c r="C116" s="199" t="inlineStr">
        <is>
          <t>Sec 194C</t>
        </is>
      </c>
      <c r="D116" s="200" t="inlineStr">
        <is>
          <t>Pending ⏳</t>
        </is>
      </c>
      <c r="E116" s="34" t="inlineStr"/>
      <c r="F116" s="197" t="inlineStr">
        <is>
          <t>No</t>
        </is>
      </c>
    </row>
    <row r="117" ht="35" customHeight="1">
      <c r="A117" s="198" t="inlineStr">
        <is>
          <t>Miscellaneous Expenses</t>
        </is>
      </c>
      <c r="B117" s="40" t="inlineStr">
        <is>
          <t>Penalties, CSR shortfall, personal items, non-business exp</t>
        </is>
      </c>
      <c r="C117" s="199" t="inlineStr">
        <is>
          <t>Sec 37 inadmissibles</t>
        </is>
      </c>
      <c r="D117" s="200" t="inlineStr">
        <is>
          <t>Pending ⏳</t>
        </is>
      </c>
      <c r="E117" s="34" t="inlineStr"/>
      <c r="F117" s="197" t="inlineStr">
        <is>
          <t>No</t>
        </is>
      </c>
    </row>
    <row r="118" ht="35" customHeight="1">
      <c r="A118" s="198" t="inlineStr">
        <is>
          <t>Unsecured Loans</t>
        </is>
      </c>
      <c r="B118" s="34" t="inlineStr">
        <is>
          <t>Source of funds, Sec 269SS, deemed dividend Sec 2(22)(e)</t>
        </is>
      </c>
      <c r="C118" s="199" t="inlineStr">
        <is>
          <t>Sec 269SS, 2(22)(e)</t>
        </is>
      </c>
      <c r="D118" s="200" t="inlineStr">
        <is>
          <t>Pending ⏳</t>
        </is>
      </c>
      <c r="E118" s="34" t="inlineStr"/>
      <c r="F118" s="197" t="inlineStr">
        <is>
          <t>No</t>
        </is>
      </c>
    </row>
    <row r="119" ht="35" customHeight="1">
      <c r="A119" s="198" t="inlineStr">
        <is>
          <t>Sundry Debtors (Old)</t>
        </is>
      </c>
      <c r="B119" s="40" t="inlineStr">
        <is>
          <t>Balances &gt;3 yrs, write-off basis, genuine trade debt, ECL provision</t>
        </is>
      </c>
      <c r="C119" s="199" t="inlineStr">
        <is>
          <t>Sec 36(1)(vii)</t>
        </is>
      </c>
      <c r="D119" s="200" t="inlineStr">
        <is>
          <t>Pending ⏳</t>
        </is>
      </c>
      <c r="E119" s="34" t="inlineStr"/>
      <c r="F119" s="197" t="inlineStr">
        <is>
          <t>No</t>
        </is>
      </c>
    </row>
    <row r="120" ht="35" customHeight="1">
      <c r="A120" s="198" t="inlineStr">
        <is>
          <t>Sundry Creditors — MSME</t>
        </is>
      </c>
      <c r="B120" s="34" t="inlineStr">
        <is>
          <t>Outstanding &gt;45 days — Sec 43B(h) disallowance, Udyam verification</t>
        </is>
      </c>
      <c r="C120" s="199" t="inlineStr">
        <is>
          <t>Sec 43B(h), MSMED Act</t>
        </is>
      </c>
      <c r="D120" s="200" t="inlineStr">
        <is>
          <t>Pending ⏳</t>
        </is>
      </c>
      <c r="E120" s="34" t="inlineStr"/>
      <c r="F120" s="197" t="inlineStr">
        <is>
          <t>No</t>
        </is>
      </c>
    </row>
    <row r="121" ht="35" customHeight="1">
      <c r="A121" s="198" t="inlineStr">
        <is>
          <t>Advances to Suppliers</t>
        </is>
      </c>
      <c r="B121" s="40" t="inlineStr">
        <is>
          <t>Recoverability, related party, large year-end advances</t>
        </is>
      </c>
      <c r="C121" s="199" t="inlineStr">
        <is>
          <t>CARO Para iii</t>
        </is>
      </c>
      <c r="D121" s="200" t="inlineStr">
        <is>
          <t>Pending ⏳</t>
        </is>
      </c>
      <c r="E121" s="34" t="inlineStr"/>
      <c r="F121" s="197" t="inlineStr">
        <is>
          <t>No</t>
        </is>
      </c>
    </row>
    <row r="122" ht="35" customHeight="1">
      <c r="A122" s="198" t="inlineStr">
        <is>
          <t>Share Capital</t>
        </is>
      </c>
      <c r="B122" s="34" t="inlineStr">
        <is>
          <t>Sec 68 — source of funds, identity of shareholders, genuine subscription</t>
        </is>
      </c>
      <c r="C122" s="199" t="inlineStr">
        <is>
          <t>Sec 68, 69A</t>
        </is>
      </c>
      <c r="D122" s="200" t="inlineStr">
        <is>
          <t>Pending ⏳</t>
        </is>
      </c>
      <c r="E122" s="34" t="inlineStr"/>
      <c r="F122" s="197" t="inlineStr">
        <is>
          <t>No</t>
        </is>
      </c>
    </row>
    <row r="123" ht="35" customHeight="1">
      <c r="A123" s="198" t="inlineStr">
        <is>
          <t>GST ITC Ledger</t>
        </is>
      </c>
      <c r="B123" s="40" t="inlineStr">
        <is>
          <t>2B reconciliation, blocked credits 17(5), Rule 42/43/37 reversal</t>
        </is>
      </c>
      <c r="C123" s="199" t="inlineStr">
        <is>
          <t>GST Sec 16, Rule 42/43</t>
        </is>
      </c>
      <c r="D123" s="200" t="inlineStr">
        <is>
          <t>Pending ⏳</t>
        </is>
      </c>
      <c r="E123" s="34" t="inlineStr"/>
      <c r="F123" s="197" t="inlineStr">
        <is>
          <t>No</t>
        </is>
      </c>
    </row>
    <row r="124" ht="35" customHeight="1">
      <c r="A124" s="198" t="inlineStr">
        <is>
          <t>TDS Payable</t>
        </is>
      </c>
      <c r="B124" s="34" t="inlineStr">
        <is>
          <t>Timely deposit, interest u/s 201A, short deduction analysis</t>
        </is>
      </c>
      <c r="C124" s="199" t="inlineStr">
        <is>
          <t>Sec 200, 201</t>
        </is>
      </c>
      <c r="D124" s="200" t="inlineStr">
        <is>
          <t>Pending ⏳</t>
        </is>
      </c>
      <c r="E124" s="34" t="inlineStr"/>
      <c r="F124" s="197" t="inlineStr">
        <is>
          <t>No</t>
        </is>
      </c>
    </row>
    <row r="125" ht="35" customHeight="1">
      <c r="A125" s="198" t="inlineStr">
        <is>
          <t>Depreciation</t>
        </is>
      </c>
      <c r="B125" s="40" t="inlineStr">
        <is>
          <t>Rate applied (IT Act Appx I), new assets, disposal, impairment</t>
        </is>
      </c>
      <c r="C125" s="199" t="inlineStr">
        <is>
          <t>Sec 32, Schedule II</t>
        </is>
      </c>
      <c r="D125" s="200" t="inlineStr">
        <is>
          <t>Pending ⏳</t>
        </is>
      </c>
      <c r="E125" s="34" t="inlineStr"/>
      <c r="F125" s="197" t="inlineStr">
        <is>
          <t>No</t>
        </is>
      </c>
    </row>
    <row r="126" ht="35" customHeight="1">
      <c r="A126" s="198" t="inlineStr">
        <is>
          <t>Provision for Tax</t>
        </is>
      </c>
      <c r="B126" s="34" t="inlineStr">
        <is>
          <t>Advance tax quarters, MAT applicability, deferred tax computation</t>
        </is>
      </c>
      <c r="C126" s="199" t="inlineStr">
        <is>
          <t>Sec 115JB, 115JAA</t>
        </is>
      </c>
      <c r="D126" s="200" t="inlineStr">
        <is>
          <t>Pending ⏳</t>
        </is>
      </c>
      <c r="E126" s="34" t="inlineStr"/>
      <c r="F126" s="197" t="inlineStr">
        <is>
          <t>No</t>
        </is>
      </c>
    </row>
  </sheetData>
  <mergeCells count="3">
    <mergeCell ref="A107:J107"/>
    <mergeCell ref="A1:J1"/>
    <mergeCell ref="A2:J2"/>
  </mergeCells>
  <dataValidations count="4">
    <dataValidation sqref="H5:H104" showDropDown="0" showInputMessage="0" showErrorMessage="0" allowBlank="1" type="list">
      <formula1>"Yes — Deducted,Yes — NOT Deducted ⚠️,Not Applicable,Check Required"</formula1>
    </dataValidation>
    <dataValidation sqref="I5:I104" showDropDown="0" showInputMessage="0" showErrorMessage="0" allowBlank="1" type="list">
      <formula1>"ITC Availed,Blocked Credit ⚠️,RCM — Pay &amp; Claim,Exempt,Not Applicable,Check"</formula1>
    </dataValidation>
    <dataValidation sqref="J5:J104" showDropDown="0" showInputMessage="0" showErrorMessage="0" allowBlank="1" type="list">
      <formula1>"Normal,Personal Expense ⚠️,Capital in Nature ⚠️,RPT — Verify,Cash&gt;10K ⚠️,Round Amount,Split Payment ⚠️,Year-end Entry,Suspicious ⚠️"</formula1>
    </dataValidation>
    <dataValidation sqref="D109:D127" showDropDown="0" showInputMessage="0" showErrorMessage="0" allowBlank="1" type="list">
      <formula1>"Reviewed ✅,In Progress 🔄,Pending ⏳,N/A ➖"</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4" customWidth="1" min="3" max="3"/>
    <col width="16" customWidth="1" min="4" max="4"/>
    <col width="15" customWidth="1" min="5" max="5"/>
    <col width="16" customWidth="1" min="6" max="6"/>
    <col width="15" customWidth="1" min="7" max="7"/>
    <col width="15" customWidth="1" min="8" max="8"/>
    <col width="15" customWidth="1" min="9" max="9"/>
    <col width="20" customWidth="1" min="10" max="10"/>
  </cols>
  <sheetData>
    <row r="1">
      <c r="A1" s="30" t="inlineStr">
        <is>
          <t>TDS COMPLIANCE REVIEW — EXPENSE-WISE  |  FY 2025-26</t>
        </is>
      </c>
    </row>
    <row r="2">
      <c r="A2" s="31" t="inlineStr">
        <is>
          <t>Verify TDS applicability, rates, deduction and deposit. Compute Sec 40(a)(ia) disallowance.</t>
        </is>
      </c>
    </row>
    <row r="4">
      <c r="A4" s="185" t="inlineStr">
        <is>
          <t>Section</t>
        </is>
      </c>
      <c r="B4" s="185" t="inlineStr">
        <is>
          <t>Nature of Payment</t>
        </is>
      </c>
      <c r="C4" s="185" t="inlineStr">
        <is>
          <t>Threshold (₹)</t>
        </is>
      </c>
      <c r="D4" s="185" t="inlineStr">
        <is>
          <t>Rate — Indiv/HUF</t>
        </is>
      </c>
      <c r="E4" s="185" t="inlineStr">
        <is>
          <t>Rate — Company</t>
        </is>
      </c>
      <c r="F4" s="185" t="inlineStr">
        <is>
          <t>Total Payments (₹)</t>
        </is>
      </c>
      <c r="G4" s="185" t="inlineStr">
        <is>
          <t>TDS Deducted (₹)</t>
        </is>
      </c>
      <c r="H4" s="185" t="inlineStr">
        <is>
          <t>TDS Required (₹)</t>
        </is>
      </c>
      <c r="I4" s="185" t="inlineStr">
        <is>
          <t>Short Deduction (₹)</t>
        </is>
      </c>
      <c r="J4" s="185" t="inlineStr">
        <is>
          <t>40(a)(ia) Disallowance (₹)</t>
        </is>
      </c>
    </row>
    <row r="5" ht="28" customHeight="1">
      <c r="A5" s="201" t="inlineStr">
        <is>
          <t>192</t>
        </is>
      </c>
      <c r="B5" s="34" t="inlineStr">
        <is>
          <t>Salaries</t>
        </is>
      </c>
      <c r="C5" s="187" t="inlineStr">
        <is>
          <t>Slab limit</t>
        </is>
      </c>
      <c r="D5" s="202" t="inlineStr">
        <is>
          <t>Slab rates</t>
        </is>
      </c>
      <c r="E5" s="202" t="inlineStr">
        <is>
          <t>30%</t>
        </is>
      </c>
      <c r="F5" s="188" t="n">
        <v>0</v>
      </c>
      <c r="G5" s="188" t="n">
        <v>0</v>
      </c>
      <c r="H5" s="203">
        <f>F5*0.1</f>
        <v/>
      </c>
      <c r="I5" s="204">
        <f>MAX(H5-G5,0)</f>
        <v/>
      </c>
      <c r="J5" s="205">
        <f>I5*3</f>
        <v/>
      </c>
    </row>
    <row r="6" ht="28" customHeight="1">
      <c r="A6" s="201" t="inlineStr">
        <is>
          <t>193</t>
        </is>
      </c>
      <c r="B6" s="40" t="inlineStr">
        <is>
          <t>Interest on Securities</t>
        </is>
      </c>
      <c r="C6" s="187" t="inlineStr">
        <is>
          <t>5,000</t>
        </is>
      </c>
      <c r="D6" s="202" t="inlineStr">
        <is>
          <t>10%</t>
        </is>
      </c>
      <c r="E6" s="202" t="inlineStr">
        <is>
          <t>10%</t>
        </is>
      </c>
      <c r="F6" s="188" t="n">
        <v>0</v>
      </c>
      <c r="G6" s="188" t="n">
        <v>0</v>
      </c>
      <c r="H6" s="203">
        <f>F6*0.1</f>
        <v/>
      </c>
      <c r="I6" s="204">
        <f>MAX(H6-G6,0)</f>
        <v/>
      </c>
      <c r="J6" s="205">
        <f>I6*3</f>
        <v/>
      </c>
    </row>
    <row r="7" ht="28" customHeight="1">
      <c r="A7" s="201" t="inlineStr">
        <is>
          <t>194</t>
        </is>
      </c>
      <c r="B7" s="34" t="inlineStr">
        <is>
          <t>Dividends</t>
        </is>
      </c>
      <c r="C7" s="187" t="inlineStr">
        <is>
          <t>5,000</t>
        </is>
      </c>
      <c r="D7" s="202" t="inlineStr">
        <is>
          <t>10%</t>
        </is>
      </c>
      <c r="E7" s="202" t="inlineStr">
        <is>
          <t>10%</t>
        </is>
      </c>
      <c r="F7" s="188" t="n">
        <v>0</v>
      </c>
      <c r="G7" s="188" t="n">
        <v>0</v>
      </c>
      <c r="H7" s="203">
        <f>F7*0.1</f>
        <v/>
      </c>
      <c r="I7" s="204">
        <f>MAX(H7-G7,0)</f>
        <v/>
      </c>
      <c r="J7" s="205">
        <f>I7*3</f>
        <v/>
      </c>
    </row>
    <row r="8" ht="28" customHeight="1">
      <c r="A8" s="201" t="inlineStr">
        <is>
          <t>194A</t>
        </is>
      </c>
      <c r="B8" s="40" t="inlineStr">
        <is>
          <t>Interest — Banks (Senior Citizen: 1L)</t>
        </is>
      </c>
      <c r="C8" s="187" t="inlineStr">
        <is>
          <t>50,000</t>
        </is>
      </c>
      <c r="D8" s="202" t="inlineStr">
        <is>
          <t>10%</t>
        </is>
      </c>
      <c r="E8" s="202" t="inlineStr">
        <is>
          <t>10%</t>
        </is>
      </c>
      <c r="F8" s="188" t="n">
        <v>0</v>
      </c>
      <c r="G8" s="188" t="n">
        <v>0</v>
      </c>
      <c r="H8" s="203">
        <f>F8*0.1</f>
        <v/>
      </c>
      <c r="I8" s="204">
        <f>MAX(H8-G8,0)</f>
        <v/>
      </c>
      <c r="J8" s="205">
        <f>I8*3</f>
        <v/>
      </c>
    </row>
    <row r="9" ht="28" customHeight="1">
      <c r="A9" s="201" t="inlineStr">
        <is>
          <t>194A</t>
        </is>
      </c>
      <c r="B9" s="34" t="inlineStr">
        <is>
          <t>Interest — Others</t>
        </is>
      </c>
      <c r="C9" s="187" t="inlineStr">
        <is>
          <t>5,000</t>
        </is>
      </c>
      <c r="D9" s="202" t="inlineStr">
        <is>
          <t>10%</t>
        </is>
      </c>
      <c r="E9" s="202" t="inlineStr">
        <is>
          <t>10%</t>
        </is>
      </c>
      <c r="F9" s="188" t="n">
        <v>0</v>
      </c>
      <c r="G9" s="188" t="n">
        <v>0</v>
      </c>
      <c r="H9" s="203">
        <f>F9*0.1</f>
        <v/>
      </c>
      <c r="I9" s="204">
        <f>MAX(H9-G9,0)</f>
        <v/>
      </c>
      <c r="J9" s="205">
        <f>I9*3</f>
        <v/>
      </c>
    </row>
    <row r="10" ht="28" customHeight="1">
      <c r="A10" s="201" t="inlineStr">
        <is>
          <t>194C</t>
        </is>
      </c>
      <c r="B10" s="40" t="inlineStr">
        <is>
          <t>Contractor — Single</t>
        </is>
      </c>
      <c r="C10" s="187" t="inlineStr">
        <is>
          <t>30,000</t>
        </is>
      </c>
      <c r="D10" s="202" t="inlineStr">
        <is>
          <t>1%</t>
        </is>
      </c>
      <c r="E10" s="202" t="inlineStr">
        <is>
          <t>2%</t>
        </is>
      </c>
      <c r="F10" s="188" t="n">
        <v>0</v>
      </c>
      <c r="G10" s="188" t="n">
        <v>0</v>
      </c>
      <c r="H10" s="203">
        <f>F10*0.1</f>
        <v/>
      </c>
      <c r="I10" s="204">
        <f>MAX(H10-G10,0)</f>
        <v/>
      </c>
      <c r="J10" s="205">
        <f>I10*3</f>
        <v/>
      </c>
    </row>
    <row r="11" ht="28" customHeight="1">
      <c r="A11" s="201" t="inlineStr">
        <is>
          <t>194C</t>
        </is>
      </c>
      <c r="B11" s="34" t="inlineStr">
        <is>
          <t>Contractor — Annual aggregate</t>
        </is>
      </c>
      <c r="C11" s="187" t="inlineStr">
        <is>
          <t>1,00,000</t>
        </is>
      </c>
      <c r="D11" s="202" t="inlineStr">
        <is>
          <t>1%</t>
        </is>
      </c>
      <c r="E11" s="202" t="inlineStr">
        <is>
          <t>2%</t>
        </is>
      </c>
      <c r="F11" s="188" t="n">
        <v>0</v>
      </c>
      <c r="G11" s="188" t="n">
        <v>0</v>
      </c>
      <c r="H11" s="203">
        <f>F11*0.1</f>
        <v/>
      </c>
      <c r="I11" s="204">
        <f>MAX(H11-G11,0)</f>
        <v/>
      </c>
      <c r="J11" s="205">
        <f>I11*3</f>
        <v/>
      </c>
    </row>
    <row r="12" ht="28" customHeight="1">
      <c r="A12" s="201" t="inlineStr">
        <is>
          <t>194D</t>
        </is>
      </c>
      <c r="B12" s="40" t="inlineStr">
        <is>
          <t>Insurance Commission</t>
        </is>
      </c>
      <c r="C12" s="187" t="inlineStr">
        <is>
          <t>15,000</t>
        </is>
      </c>
      <c r="D12" s="202" t="inlineStr">
        <is>
          <t>5%</t>
        </is>
      </c>
      <c r="E12" s="202" t="inlineStr">
        <is>
          <t>10%</t>
        </is>
      </c>
      <c r="F12" s="188" t="n">
        <v>0</v>
      </c>
      <c r="G12" s="188" t="n">
        <v>0</v>
      </c>
      <c r="H12" s="203">
        <f>F12*0.1</f>
        <v/>
      </c>
      <c r="I12" s="204">
        <f>MAX(H12-G12,0)</f>
        <v/>
      </c>
      <c r="J12" s="205">
        <f>I12*3</f>
        <v/>
      </c>
    </row>
    <row r="13" ht="28" customHeight="1">
      <c r="A13" s="201" t="inlineStr">
        <is>
          <t>194H</t>
        </is>
      </c>
      <c r="B13" s="34" t="inlineStr">
        <is>
          <t>Commission / Brokerage</t>
        </is>
      </c>
      <c r="C13" s="187" t="inlineStr">
        <is>
          <t>15,000</t>
        </is>
      </c>
      <c r="D13" s="202" t="inlineStr">
        <is>
          <t>5%</t>
        </is>
      </c>
      <c r="E13" s="202" t="inlineStr">
        <is>
          <t>5%</t>
        </is>
      </c>
      <c r="F13" s="188" t="n">
        <v>0</v>
      </c>
      <c r="G13" s="188" t="n">
        <v>0</v>
      </c>
      <c r="H13" s="203">
        <f>F13*0.1</f>
        <v/>
      </c>
      <c r="I13" s="204">
        <f>MAX(H13-G13,0)</f>
        <v/>
      </c>
      <c r="J13" s="205">
        <f>I13*3</f>
        <v/>
      </c>
    </row>
    <row r="14" ht="28" customHeight="1">
      <c r="A14" s="201" t="inlineStr">
        <is>
          <t>194-I(a)</t>
        </is>
      </c>
      <c r="B14" s="40" t="inlineStr">
        <is>
          <t>Rent — P&amp;M / Equipment</t>
        </is>
      </c>
      <c r="C14" s="187" t="inlineStr">
        <is>
          <t>2,40,000</t>
        </is>
      </c>
      <c r="D14" s="202" t="inlineStr">
        <is>
          <t>2%</t>
        </is>
      </c>
      <c r="E14" s="202" t="inlineStr">
        <is>
          <t>2%</t>
        </is>
      </c>
      <c r="F14" s="188" t="n">
        <v>0</v>
      </c>
      <c r="G14" s="188" t="n">
        <v>0</v>
      </c>
      <c r="H14" s="203">
        <f>F14*0.1</f>
        <v/>
      </c>
      <c r="I14" s="204">
        <f>MAX(H14-G14,0)</f>
        <v/>
      </c>
      <c r="J14" s="205">
        <f>I14*3</f>
        <v/>
      </c>
    </row>
    <row r="15" ht="28" customHeight="1">
      <c r="A15" s="201" t="inlineStr">
        <is>
          <t>194-I(b)</t>
        </is>
      </c>
      <c r="B15" s="34" t="inlineStr">
        <is>
          <t>Rent — Land / Building / Furniture</t>
        </is>
      </c>
      <c r="C15" s="187" t="inlineStr">
        <is>
          <t>2,40,000</t>
        </is>
      </c>
      <c r="D15" s="202" t="inlineStr">
        <is>
          <t>10%</t>
        </is>
      </c>
      <c r="E15" s="202" t="inlineStr">
        <is>
          <t>10%</t>
        </is>
      </c>
      <c r="F15" s="188" t="n">
        <v>0</v>
      </c>
      <c r="G15" s="188" t="n">
        <v>0</v>
      </c>
      <c r="H15" s="203">
        <f>F15*0.1</f>
        <v/>
      </c>
      <c r="I15" s="204">
        <f>MAX(H15-G15,0)</f>
        <v/>
      </c>
      <c r="J15" s="205">
        <f>I15*3</f>
        <v/>
      </c>
    </row>
    <row r="16" ht="28" customHeight="1">
      <c r="A16" s="201" t="inlineStr">
        <is>
          <t>194-IA</t>
        </is>
      </c>
      <c r="B16" s="40" t="inlineStr">
        <is>
          <t>Purchase of Immovable Property</t>
        </is>
      </c>
      <c r="C16" s="187" t="inlineStr">
        <is>
          <t>50,00,000</t>
        </is>
      </c>
      <c r="D16" s="202" t="inlineStr">
        <is>
          <t>1%</t>
        </is>
      </c>
      <c r="E16" s="202" t="inlineStr">
        <is>
          <t>1%</t>
        </is>
      </c>
      <c r="F16" s="188" t="n">
        <v>0</v>
      </c>
      <c r="G16" s="188" t="n">
        <v>0</v>
      </c>
      <c r="H16" s="203">
        <f>F16*0.1</f>
        <v/>
      </c>
      <c r="I16" s="204">
        <f>MAX(H16-G16,0)</f>
        <v/>
      </c>
      <c r="J16" s="205">
        <f>I16*3</f>
        <v/>
      </c>
    </row>
    <row r="17" ht="28" customHeight="1">
      <c r="A17" s="201" t="inlineStr">
        <is>
          <t>194J(a)</t>
        </is>
      </c>
      <c r="B17" s="34" t="inlineStr">
        <is>
          <t>Technical Services</t>
        </is>
      </c>
      <c r="C17" s="187" t="inlineStr">
        <is>
          <t>30,000</t>
        </is>
      </c>
      <c r="D17" s="202" t="inlineStr">
        <is>
          <t>2%</t>
        </is>
      </c>
      <c r="E17" s="202" t="inlineStr">
        <is>
          <t>2%</t>
        </is>
      </c>
      <c r="F17" s="188" t="n">
        <v>0</v>
      </c>
      <c r="G17" s="188" t="n">
        <v>0</v>
      </c>
      <c r="H17" s="203">
        <f>F17*0.1</f>
        <v/>
      </c>
      <c r="I17" s="204">
        <f>MAX(H17-G17,0)</f>
        <v/>
      </c>
      <c r="J17" s="205">
        <f>I17*3</f>
        <v/>
      </c>
    </row>
    <row r="18" ht="28" customHeight="1">
      <c r="A18" s="201" t="inlineStr">
        <is>
          <t>194J(b)</t>
        </is>
      </c>
      <c r="B18" s="40" t="inlineStr">
        <is>
          <t>Professional Fees / Director fees</t>
        </is>
      </c>
      <c r="C18" s="187" t="inlineStr">
        <is>
          <t>30,000</t>
        </is>
      </c>
      <c r="D18" s="202" t="inlineStr">
        <is>
          <t>10%</t>
        </is>
      </c>
      <c r="E18" s="202" t="inlineStr">
        <is>
          <t>10%</t>
        </is>
      </c>
      <c r="F18" s="188" t="n">
        <v>0</v>
      </c>
      <c r="G18" s="188" t="n">
        <v>0</v>
      </c>
      <c r="H18" s="203">
        <f>F18*0.1</f>
        <v/>
      </c>
      <c r="I18" s="204">
        <f>MAX(H18-G18,0)</f>
        <v/>
      </c>
      <c r="J18" s="205">
        <f>I18*3</f>
        <v/>
      </c>
    </row>
    <row r="19" ht="28" customHeight="1">
      <c r="A19" s="201" t="inlineStr">
        <is>
          <t>194M</t>
        </is>
      </c>
      <c r="B19" s="34" t="inlineStr">
        <is>
          <t>Payment by Indiv/HUF to Contractor/Professional</t>
        </is>
      </c>
      <c r="C19" s="187" t="inlineStr">
        <is>
          <t>50,00,000</t>
        </is>
      </c>
      <c r="D19" s="202" t="inlineStr">
        <is>
          <t>5%</t>
        </is>
      </c>
      <c r="E19" s="202" t="inlineStr">
        <is>
          <t>5%</t>
        </is>
      </c>
      <c r="F19" s="188" t="n">
        <v>0</v>
      </c>
      <c r="G19" s="188" t="n">
        <v>0</v>
      </c>
      <c r="H19" s="203">
        <f>F19*0.1</f>
        <v/>
      </c>
      <c r="I19" s="204">
        <f>MAX(H19-G19,0)</f>
        <v/>
      </c>
      <c r="J19" s="205">
        <f>I19*3</f>
        <v/>
      </c>
    </row>
    <row r="20" ht="28" customHeight="1">
      <c r="A20" s="201" t="inlineStr">
        <is>
          <t>194N</t>
        </is>
      </c>
      <c r="B20" s="40" t="inlineStr">
        <is>
          <t>Cash withdrawal &gt;₹1Cr from Bank</t>
        </is>
      </c>
      <c r="C20" s="187" t="inlineStr">
        <is>
          <t>1,00,00,000</t>
        </is>
      </c>
      <c r="D20" s="202" t="inlineStr">
        <is>
          <t>2%</t>
        </is>
      </c>
      <c r="E20" s="202" t="inlineStr">
        <is>
          <t>2%</t>
        </is>
      </c>
      <c r="F20" s="188" t="n">
        <v>0</v>
      </c>
      <c r="G20" s="188" t="n">
        <v>0</v>
      </c>
      <c r="H20" s="203">
        <f>F20*0.1</f>
        <v/>
      </c>
      <c r="I20" s="204">
        <f>MAX(H20-G20,0)</f>
        <v/>
      </c>
      <c r="J20" s="205">
        <f>I20*3</f>
        <v/>
      </c>
    </row>
    <row r="21" ht="28" customHeight="1">
      <c r="A21" s="201" t="inlineStr">
        <is>
          <t>194O</t>
        </is>
      </c>
      <c r="B21" s="34" t="inlineStr">
        <is>
          <t>E-commerce — payments to participants</t>
        </is>
      </c>
      <c r="C21" s="187" t="inlineStr">
        <is>
          <t>Nil</t>
        </is>
      </c>
      <c r="D21" s="202" t="inlineStr">
        <is>
          <t>1%</t>
        </is>
      </c>
      <c r="E21" s="202" t="inlineStr">
        <is>
          <t>1%</t>
        </is>
      </c>
      <c r="F21" s="188" t="n">
        <v>0</v>
      </c>
      <c r="G21" s="188" t="n">
        <v>0</v>
      </c>
      <c r="H21" s="203">
        <f>F21*0.1</f>
        <v/>
      </c>
      <c r="I21" s="204">
        <f>MAX(H21-G21,0)</f>
        <v/>
      </c>
      <c r="J21" s="205">
        <f>I21*3</f>
        <v/>
      </c>
    </row>
    <row r="22" ht="28" customHeight="1">
      <c r="A22" s="201" t="inlineStr">
        <is>
          <t>194Q</t>
        </is>
      </c>
      <c r="B22" s="40" t="inlineStr">
        <is>
          <t>Purchase of Goods (buyer turnover &gt;10Cr)</t>
        </is>
      </c>
      <c r="C22" s="187" t="inlineStr">
        <is>
          <t>50,00,000</t>
        </is>
      </c>
      <c r="D22" s="202" t="inlineStr">
        <is>
          <t>0.1%</t>
        </is>
      </c>
      <c r="E22" s="202" t="inlineStr">
        <is>
          <t>0.1%</t>
        </is>
      </c>
      <c r="F22" s="188" t="n">
        <v>0</v>
      </c>
      <c r="G22" s="188" t="n">
        <v>0</v>
      </c>
      <c r="H22" s="203">
        <f>F22*0.1</f>
        <v/>
      </c>
      <c r="I22" s="204">
        <f>MAX(H22-G22,0)</f>
        <v/>
      </c>
      <c r="J22" s="205">
        <f>I22*3</f>
        <v/>
      </c>
    </row>
    <row r="23" ht="28" customHeight="1">
      <c r="A23" s="201" t="inlineStr">
        <is>
          <t>194R</t>
        </is>
      </c>
      <c r="B23" s="34" t="inlineStr">
        <is>
          <t>Benefits/Perquisites to business associates</t>
        </is>
      </c>
      <c r="C23" s="187" t="inlineStr">
        <is>
          <t>20,000</t>
        </is>
      </c>
      <c r="D23" s="202" t="inlineStr">
        <is>
          <t>10%</t>
        </is>
      </c>
      <c r="E23" s="202" t="inlineStr">
        <is>
          <t>10%</t>
        </is>
      </c>
      <c r="F23" s="188" t="n">
        <v>0</v>
      </c>
      <c r="G23" s="188" t="n">
        <v>0</v>
      </c>
      <c r="H23" s="203">
        <f>F23*0.1</f>
        <v/>
      </c>
      <c r="I23" s="204">
        <f>MAX(H23-G23,0)</f>
        <v/>
      </c>
      <c r="J23" s="205">
        <f>I23*3</f>
        <v/>
      </c>
    </row>
    <row r="24" ht="28" customHeight="1">
      <c r="A24" s="201" t="inlineStr">
        <is>
          <t>194S</t>
        </is>
      </c>
      <c r="B24" s="40" t="inlineStr">
        <is>
          <t>VDA / Crypto payments</t>
        </is>
      </c>
      <c r="C24" s="187" t="inlineStr">
        <is>
          <t>10,000 / 50,000</t>
        </is>
      </c>
      <c r="D24" s="202" t="inlineStr">
        <is>
          <t>1%</t>
        </is>
      </c>
      <c r="E24" s="202" t="inlineStr">
        <is>
          <t>1%</t>
        </is>
      </c>
      <c r="F24" s="188" t="n">
        <v>0</v>
      </c>
      <c r="G24" s="188" t="n">
        <v>0</v>
      </c>
      <c r="H24" s="203">
        <f>F24*0.1</f>
        <v/>
      </c>
      <c r="I24" s="204">
        <f>MAX(H24-G24,0)</f>
        <v/>
      </c>
      <c r="J24" s="205">
        <f>I24*3</f>
        <v/>
      </c>
    </row>
    <row r="25" ht="28" customHeight="1">
      <c r="A25" s="201" t="inlineStr">
        <is>
          <t>195</t>
        </is>
      </c>
      <c r="B25" s="34" t="inlineStr">
        <is>
          <t>Payments to Non-Residents — Interest</t>
        </is>
      </c>
      <c r="C25" s="187" t="inlineStr">
        <is>
          <t>As per DTAA</t>
        </is>
      </c>
      <c r="D25" s="202" t="inlineStr">
        <is>
          <t>As per DTAA</t>
        </is>
      </c>
      <c r="E25" s="202" t="inlineStr">
        <is>
          <t>As per DTAA</t>
        </is>
      </c>
      <c r="F25" s="188" t="n">
        <v>0</v>
      </c>
      <c r="G25" s="188" t="n">
        <v>0</v>
      </c>
      <c r="H25" s="203">
        <f>F25*0.1</f>
        <v/>
      </c>
      <c r="I25" s="204">
        <f>MAX(H25-G25,0)</f>
        <v/>
      </c>
      <c r="J25" s="205">
        <f>I25*3</f>
        <v/>
      </c>
    </row>
    <row r="26" ht="28" customHeight="1">
      <c r="A26" s="201" t="inlineStr">
        <is>
          <t>195</t>
        </is>
      </c>
      <c r="B26" s="40" t="inlineStr">
        <is>
          <t>Payments to Non-Residents — Royalty/FTS</t>
        </is>
      </c>
      <c r="C26" s="187" t="inlineStr">
        <is>
          <t>As per DTAA</t>
        </is>
      </c>
      <c r="D26" s="202" t="inlineStr">
        <is>
          <t>10%+SC+Cess</t>
        </is>
      </c>
      <c r="E26" s="202" t="inlineStr">
        <is>
          <t>10%+SC+Cess</t>
        </is>
      </c>
      <c r="F26" s="188" t="n">
        <v>0</v>
      </c>
      <c r="G26" s="188" t="n">
        <v>0</v>
      </c>
      <c r="H26" s="203">
        <f>F26*0.1</f>
        <v/>
      </c>
      <c r="I26" s="204">
        <f>MAX(H26-G26,0)</f>
        <v/>
      </c>
      <c r="J26" s="205">
        <f>I26*3</f>
        <v/>
      </c>
    </row>
    <row r="27" ht="28" customHeight="1">
      <c r="A27" s="201" t="inlineStr">
        <is>
          <t>206C(1H)</t>
        </is>
      </c>
      <c r="B27" s="34" t="inlineStr">
        <is>
          <t>TCS on Sale of Goods &gt;50L</t>
        </is>
      </c>
      <c r="C27" s="187" t="inlineStr">
        <is>
          <t>50,00,000</t>
        </is>
      </c>
      <c r="D27" s="202" t="inlineStr">
        <is>
          <t>0.1% collect</t>
        </is>
      </c>
      <c r="E27" s="202" t="inlineStr">
        <is>
          <t>0.1% collect</t>
        </is>
      </c>
      <c r="F27" s="188" t="n">
        <v>0</v>
      </c>
      <c r="G27" s="188" t="n">
        <v>0</v>
      </c>
      <c r="H27" s="203">
        <f>F27*0.1</f>
        <v/>
      </c>
      <c r="I27" s="204">
        <f>MAX(H27-G27,0)</f>
        <v/>
      </c>
      <c r="J27" s="205">
        <f>I27*3</f>
        <v/>
      </c>
    </row>
    <row r="28">
      <c r="A28" s="77" t="inlineStr">
        <is>
          <t>TOTAL — ALL SECTIONS</t>
        </is>
      </c>
      <c r="F28" s="195">
        <f>SUM(F5:F27)</f>
        <v/>
      </c>
      <c r="G28" s="195">
        <f>SUM(G5:G27)</f>
        <v/>
      </c>
      <c r="H28" s="195">
        <f>SUM(H5:H27)</f>
        <v/>
      </c>
      <c r="I28" s="195">
        <f>SUM(I5:I27)</f>
        <v/>
      </c>
      <c r="J28" s="195">
        <f>SUM(J5:J27)</f>
        <v/>
      </c>
    </row>
  </sheetData>
  <mergeCells count="3">
    <mergeCell ref="A1:J1"/>
    <mergeCell ref="A28:E28"/>
    <mergeCell ref="A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14" customWidth="1" min="3" max="3"/>
    <col width="13" customWidth="1" min="4" max="4"/>
    <col width="13" customWidth="1" min="5" max="5"/>
    <col width="14" customWidth="1" min="6" max="6"/>
    <col width="15" customWidth="1" min="7" max="7"/>
    <col width="13" customWidth="1" min="8" max="8"/>
    <col width="12" customWidth="1" min="9" max="9"/>
    <col width="22" customWidth="1" min="10" max="10"/>
  </cols>
  <sheetData>
    <row r="1">
      <c r="A1" s="30" t="inlineStr">
        <is>
          <t>MSME OUTSTANDING — SEC 43B(h) DISALLOWANCE COMPUTATION  |  FY 2025-26</t>
        </is>
      </c>
    </row>
    <row r="2">
      <c r="A2" s="206" t="inlineStr">
        <is>
          <t>SEC 43B(h): Payments to MSME (Sec 2(b)) due &gt;45 days disallowed. Verify Udyam registration of every vendor.</t>
        </is>
      </c>
    </row>
    <row r="4">
      <c r="A4" s="185" t="inlineStr">
        <is>
          <t>Vendor Name</t>
        </is>
      </c>
      <c r="B4" s="185" t="inlineStr">
        <is>
          <t>Udyam Reg. No.</t>
        </is>
      </c>
      <c r="C4" s="185" t="inlineStr">
        <is>
          <t>MSME Category</t>
        </is>
      </c>
      <c r="D4" s="185" t="inlineStr">
        <is>
          <t>Invoice No.</t>
        </is>
      </c>
      <c r="E4" s="185" t="inlineStr">
        <is>
          <t>Invoice Date</t>
        </is>
      </c>
      <c r="F4" s="185" t="inlineStr">
        <is>
          <t>Inv Amt (₹)</t>
        </is>
      </c>
      <c r="G4" s="185" t="inlineStr">
        <is>
          <t>45-Day Due Date</t>
        </is>
      </c>
      <c r="H4" s="185" t="inlineStr">
        <is>
          <t>Payment Date</t>
        </is>
      </c>
      <c r="I4" s="185" t="inlineStr">
        <is>
          <t>Days Overdue</t>
        </is>
      </c>
      <c r="J4" s="185" t="inlineStr">
        <is>
          <t>Disallowed u/s 43B(h) (₹)</t>
        </is>
      </c>
    </row>
    <row r="5" ht="20" customHeight="1">
      <c r="A5" s="193" t="inlineStr"/>
      <c r="B5" s="207" t="inlineStr"/>
      <c r="C5" s="202" t="inlineStr"/>
      <c r="D5" s="194" t="inlineStr"/>
      <c r="E5" s="208" t="inlineStr"/>
      <c r="F5" s="188" t="n">
        <v>0</v>
      </c>
      <c r="G5" s="209">
        <f>IFERROR(E5+45,"")</f>
        <v/>
      </c>
      <c r="H5" s="208" t="inlineStr"/>
      <c r="I5" s="210">
        <f>IFERROR(IF(H5&lt;&gt;"",MAX(H5-G5,0),MAX(TODAY()-G5,0)),"")</f>
        <v/>
      </c>
      <c r="J5" s="205">
        <f>IFERROR(IF(I5&gt;45,F5,0),0)</f>
        <v/>
      </c>
    </row>
    <row r="6" ht="20" customHeight="1">
      <c r="A6" s="186" t="inlineStr"/>
      <c r="B6" s="207" t="inlineStr"/>
      <c r="C6" s="202" t="inlineStr"/>
      <c r="D6" s="187" t="inlineStr"/>
      <c r="E6" s="208" t="inlineStr"/>
      <c r="F6" s="188" t="n">
        <v>0</v>
      </c>
      <c r="G6" s="209">
        <f>IFERROR(E6+45,"")</f>
        <v/>
      </c>
      <c r="H6" s="208" t="inlineStr"/>
      <c r="I6" s="210">
        <f>IFERROR(IF(H6&lt;&gt;"",MAX(H6-G6,0),MAX(TODAY()-G6,0)),"")</f>
        <v/>
      </c>
      <c r="J6" s="205">
        <f>IFERROR(IF(I6&gt;45,F6,0),0)</f>
        <v/>
      </c>
    </row>
    <row r="7" ht="20" customHeight="1">
      <c r="A7" s="193" t="inlineStr"/>
      <c r="B7" s="207" t="inlineStr"/>
      <c r="C7" s="202" t="inlineStr"/>
      <c r="D7" s="194" t="inlineStr"/>
      <c r="E7" s="208" t="inlineStr"/>
      <c r="F7" s="188" t="n">
        <v>0</v>
      </c>
      <c r="G7" s="209">
        <f>IFERROR(E7+45,"")</f>
        <v/>
      </c>
      <c r="H7" s="208" t="inlineStr"/>
      <c r="I7" s="210">
        <f>IFERROR(IF(H7&lt;&gt;"",MAX(H7-G7,0),MAX(TODAY()-G7,0)),"")</f>
        <v/>
      </c>
      <c r="J7" s="205">
        <f>IFERROR(IF(I7&gt;45,F7,0),0)</f>
        <v/>
      </c>
    </row>
    <row r="8" ht="20" customHeight="1">
      <c r="A8" s="186" t="inlineStr"/>
      <c r="B8" s="207" t="inlineStr"/>
      <c r="C8" s="202" t="inlineStr"/>
      <c r="D8" s="187" t="inlineStr"/>
      <c r="E8" s="208" t="inlineStr"/>
      <c r="F8" s="188" t="n">
        <v>0</v>
      </c>
      <c r="G8" s="209">
        <f>IFERROR(E8+45,"")</f>
        <v/>
      </c>
      <c r="H8" s="208" t="inlineStr"/>
      <c r="I8" s="210">
        <f>IFERROR(IF(H8&lt;&gt;"",MAX(H8-G8,0),MAX(TODAY()-G8,0)),"")</f>
        <v/>
      </c>
      <c r="J8" s="205">
        <f>IFERROR(IF(I8&gt;45,F8,0),0)</f>
        <v/>
      </c>
    </row>
    <row r="9" ht="20" customHeight="1">
      <c r="A9" s="193" t="inlineStr"/>
      <c r="B9" s="207" t="inlineStr"/>
      <c r="C9" s="202" t="inlineStr"/>
      <c r="D9" s="194" t="inlineStr"/>
      <c r="E9" s="208" t="inlineStr"/>
      <c r="F9" s="188" t="n">
        <v>0</v>
      </c>
      <c r="G9" s="209">
        <f>IFERROR(E9+45,"")</f>
        <v/>
      </c>
      <c r="H9" s="208" t="inlineStr"/>
      <c r="I9" s="210">
        <f>IFERROR(IF(H9&lt;&gt;"",MAX(H9-G9,0),MAX(TODAY()-G9,0)),"")</f>
        <v/>
      </c>
      <c r="J9" s="205">
        <f>IFERROR(IF(I9&gt;45,F9,0),0)</f>
        <v/>
      </c>
    </row>
    <row r="10" ht="20" customHeight="1">
      <c r="A10" s="186" t="inlineStr"/>
      <c r="B10" s="207" t="inlineStr"/>
      <c r="C10" s="202" t="inlineStr"/>
      <c r="D10" s="187" t="inlineStr"/>
      <c r="E10" s="208" t="inlineStr"/>
      <c r="F10" s="188" t="n">
        <v>0</v>
      </c>
      <c r="G10" s="209">
        <f>IFERROR(E10+45,"")</f>
        <v/>
      </c>
      <c r="H10" s="208" t="inlineStr"/>
      <c r="I10" s="210">
        <f>IFERROR(IF(H10&lt;&gt;"",MAX(H10-G10,0),MAX(TODAY()-G10,0)),"")</f>
        <v/>
      </c>
      <c r="J10" s="205">
        <f>IFERROR(IF(I10&gt;45,F10,0),0)</f>
        <v/>
      </c>
    </row>
    <row r="11" ht="20" customHeight="1">
      <c r="A11" s="193" t="inlineStr"/>
      <c r="B11" s="207" t="inlineStr"/>
      <c r="C11" s="202" t="inlineStr"/>
      <c r="D11" s="194" t="inlineStr"/>
      <c r="E11" s="208" t="inlineStr"/>
      <c r="F11" s="188" t="n">
        <v>0</v>
      </c>
      <c r="G11" s="209">
        <f>IFERROR(E11+45,"")</f>
        <v/>
      </c>
      <c r="H11" s="208" t="inlineStr"/>
      <c r="I11" s="210">
        <f>IFERROR(IF(H11&lt;&gt;"",MAX(H11-G11,0),MAX(TODAY()-G11,0)),"")</f>
        <v/>
      </c>
      <c r="J11" s="205">
        <f>IFERROR(IF(I11&gt;45,F11,0),0)</f>
        <v/>
      </c>
    </row>
    <row r="12" ht="20" customHeight="1">
      <c r="A12" s="186" t="inlineStr"/>
      <c r="B12" s="207" t="inlineStr"/>
      <c r="C12" s="202" t="inlineStr"/>
      <c r="D12" s="187" t="inlineStr"/>
      <c r="E12" s="208" t="inlineStr"/>
      <c r="F12" s="188" t="n">
        <v>0</v>
      </c>
      <c r="G12" s="209">
        <f>IFERROR(E12+45,"")</f>
        <v/>
      </c>
      <c r="H12" s="208" t="inlineStr"/>
      <c r="I12" s="210">
        <f>IFERROR(IF(H12&lt;&gt;"",MAX(H12-G12,0),MAX(TODAY()-G12,0)),"")</f>
        <v/>
      </c>
      <c r="J12" s="205">
        <f>IFERROR(IF(I12&gt;45,F12,0),0)</f>
        <v/>
      </c>
    </row>
    <row r="13" ht="20" customHeight="1">
      <c r="A13" s="193" t="inlineStr"/>
      <c r="B13" s="207" t="inlineStr"/>
      <c r="C13" s="202" t="inlineStr"/>
      <c r="D13" s="194" t="inlineStr"/>
      <c r="E13" s="208" t="inlineStr"/>
      <c r="F13" s="188" t="n">
        <v>0</v>
      </c>
      <c r="G13" s="209">
        <f>IFERROR(E13+45,"")</f>
        <v/>
      </c>
      <c r="H13" s="208" t="inlineStr"/>
      <c r="I13" s="210">
        <f>IFERROR(IF(H13&lt;&gt;"",MAX(H13-G13,0),MAX(TODAY()-G13,0)),"")</f>
        <v/>
      </c>
      <c r="J13" s="205">
        <f>IFERROR(IF(I13&gt;45,F13,0),0)</f>
        <v/>
      </c>
    </row>
    <row r="14" ht="20" customHeight="1">
      <c r="A14" s="186" t="inlineStr"/>
      <c r="B14" s="207" t="inlineStr"/>
      <c r="C14" s="202" t="inlineStr"/>
      <c r="D14" s="187" t="inlineStr"/>
      <c r="E14" s="208" t="inlineStr"/>
      <c r="F14" s="188" t="n">
        <v>0</v>
      </c>
      <c r="G14" s="209">
        <f>IFERROR(E14+45,"")</f>
        <v/>
      </c>
      <c r="H14" s="208" t="inlineStr"/>
      <c r="I14" s="210">
        <f>IFERROR(IF(H14&lt;&gt;"",MAX(H14-G14,0),MAX(TODAY()-G14,0)),"")</f>
        <v/>
      </c>
      <c r="J14" s="205">
        <f>IFERROR(IF(I14&gt;45,F14,0),0)</f>
        <v/>
      </c>
    </row>
    <row r="15" ht="20" customHeight="1">
      <c r="A15" s="193" t="inlineStr"/>
      <c r="B15" s="207" t="inlineStr"/>
      <c r="C15" s="202" t="inlineStr"/>
      <c r="D15" s="194" t="inlineStr"/>
      <c r="E15" s="208" t="inlineStr"/>
      <c r="F15" s="188" t="n">
        <v>0</v>
      </c>
      <c r="G15" s="209">
        <f>IFERROR(E15+45,"")</f>
        <v/>
      </c>
      <c r="H15" s="208" t="inlineStr"/>
      <c r="I15" s="210">
        <f>IFERROR(IF(H15&lt;&gt;"",MAX(H15-G15,0),MAX(TODAY()-G15,0)),"")</f>
        <v/>
      </c>
      <c r="J15" s="205">
        <f>IFERROR(IF(I15&gt;45,F15,0),0)</f>
        <v/>
      </c>
    </row>
    <row r="16" ht="20" customHeight="1">
      <c r="A16" s="186" t="inlineStr"/>
      <c r="B16" s="207" t="inlineStr"/>
      <c r="C16" s="202" t="inlineStr"/>
      <c r="D16" s="187" t="inlineStr"/>
      <c r="E16" s="208" t="inlineStr"/>
      <c r="F16" s="188" t="n">
        <v>0</v>
      </c>
      <c r="G16" s="209">
        <f>IFERROR(E16+45,"")</f>
        <v/>
      </c>
      <c r="H16" s="208" t="inlineStr"/>
      <c r="I16" s="210">
        <f>IFERROR(IF(H16&lt;&gt;"",MAX(H16-G16,0),MAX(TODAY()-G16,0)),"")</f>
        <v/>
      </c>
      <c r="J16" s="205">
        <f>IFERROR(IF(I16&gt;45,F16,0),0)</f>
        <v/>
      </c>
    </row>
    <row r="17" ht="20" customHeight="1">
      <c r="A17" s="193" t="inlineStr"/>
      <c r="B17" s="207" t="inlineStr"/>
      <c r="C17" s="202" t="inlineStr"/>
      <c r="D17" s="194" t="inlineStr"/>
      <c r="E17" s="208" t="inlineStr"/>
      <c r="F17" s="188" t="n">
        <v>0</v>
      </c>
      <c r="G17" s="209">
        <f>IFERROR(E17+45,"")</f>
        <v/>
      </c>
      <c r="H17" s="208" t="inlineStr"/>
      <c r="I17" s="210">
        <f>IFERROR(IF(H17&lt;&gt;"",MAX(H17-G17,0),MAX(TODAY()-G17,0)),"")</f>
        <v/>
      </c>
      <c r="J17" s="205">
        <f>IFERROR(IF(I17&gt;45,F17,0),0)</f>
        <v/>
      </c>
    </row>
    <row r="18" ht="20" customHeight="1">
      <c r="A18" s="186" t="inlineStr"/>
      <c r="B18" s="207" t="inlineStr"/>
      <c r="C18" s="202" t="inlineStr"/>
      <c r="D18" s="187" t="inlineStr"/>
      <c r="E18" s="208" t="inlineStr"/>
      <c r="F18" s="188" t="n">
        <v>0</v>
      </c>
      <c r="G18" s="209">
        <f>IFERROR(E18+45,"")</f>
        <v/>
      </c>
      <c r="H18" s="208" t="inlineStr"/>
      <c r="I18" s="210">
        <f>IFERROR(IF(H18&lt;&gt;"",MAX(H18-G18,0),MAX(TODAY()-G18,0)),"")</f>
        <v/>
      </c>
      <c r="J18" s="205">
        <f>IFERROR(IF(I18&gt;45,F18,0),0)</f>
        <v/>
      </c>
    </row>
    <row r="19" ht="20" customHeight="1">
      <c r="A19" s="193" t="inlineStr"/>
      <c r="B19" s="207" t="inlineStr"/>
      <c r="C19" s="202" t="inlineStr"/>
      <c r="D19" s="194" t="inlineStr"/>
      <c r="E19" s="208" t="inlineStr"/>
      <c r="F19" s="188" t="n">
        <v>0</v>
      </c>
      <c r="G19" s="209">
        <f>IFERROR(E19+45,"")</f>
        <v/>
      </c>
      <c r="H19" s="208" t="inlineStr"/>
      <c r="I19" s="210">
        <f>IFERROR(IF(H19&lt;&gt;"",MAX(H19-G19,0),MAX(TODAY()-G19,0)),"")</f>
        <v/>
      </c>
      <c r="J19" s="205">
        <f>IFERROR(IF(I19&gt;45,F19,0),0)</f>
        <v/>
      </c>
    </row>
    <row r="20" ht="20" customHeight="1">
      <c r="A20" s="186" t="inlineStr"/>
      <c r="B20" s="207" t="inlineStr"/>
      <c r="C20" s="202" t="inlineStr"/>
      <c r="D20" s="187" t="inlineStr"/>
      <c r="E20" s="208" t="inlineStr"/>
      <c r="F20" s="188" t="n">
        <v>0</v>
      </c>
      <c r="G20" s="209">
        <f>IFERROR(E20+45,"")</f>
        <v/>
      </c>
      <c r="H20" s="208" t="inlineStr"/>
      <c r="I20" s="210">
        <f>IFERROR(IF(H20&lt;&gt;"",MAX(H20-G20,0),MAX(TODAY()-G20,0)),"")</f>
        <v/>
      </c>
      <c r="J20" s="205">
        <f>IFERROR(IF(I20&gt;45,F20,0),0)</f>
        <v/>
      </c>
    </row>
    <row r="21" ht="20" customHeight="1">
      <c r="A21" s="193" t="inlineStr"/>
      <c r="B21" s="207" t="inlineStr"/>
      <c r="C21" s="202" t="inlineStr"/>
      <c r="D21" s="194" t="inlineStr"/>
      <c r="E21" s="208" t="inlineStr"/>
      <c r="F21" s="188" t="n">
        <v>0</v>
      </c>
      <c r="G21" s="209">
        <f>IFERROR(E21+45,"")</f>
        <v/>
      </c>
      <c r="H21" s="208" t="inlineStr"/>
      <c r="I21" s="210">
        <f>IFERROR(IF(H21&lt;&gt;"",MAX(H21-G21,0),MAX(TODAY()-G21,0)),"")</f>
        <v/>
      </c>
      <c r="J21" s="205">
        <f>IFERROR(IF(I21&gt;45,F21,0),0)</f>
        <v/>
      </c>
    </row>
    <row r="22" ht="20" customHeight="1">
      <c r="A22" s="186" t="inlineStr"/>
      <c r="B22" s="207" t="inlineStr"/>
      <c r="C22" s="202" t="inlineStr"/>
      <c r="D22" s="187" t="inlineStr"/>
      <c r="E22" s="208" t="inlineStr"/>
      <c r="F22" s="188" t="n">
        <v>0</v>
      </c>
      <c r="G22" s="209">
        <f>IFERROR(E22+45,"")</f>
        <v/>
      </c>
      <c r="H22" s="208" t="inlineStr"/>
      <c r="I22" s="210">
        <f>IFERROR(IF(H22&lt;&gt;"",MAX(H22-G22,0),MAX(TODAY()-G22,0)),"")</f>
        <v/>
      </c>
      <c r="J22" s="205">
        <f>IFERROR(IF(I22&gt;45,F22,0),0)</f>
        <v/>
      </c>
    </row>
    <row r="23" ht="20" customHeight="1">
      <c r="A23" s="193" t="inlineStr"/>
      <c r="B23" s="207" t="inlineStr"/>
      <c r="C23" s="202" t="inlineStr"/>
      <c r="D23" s="194" t="inlineStr"/>
      <c r="E23" s="208" t="inlineStr"/>
      <c r="F23" s="188" t="n">
        <v>0</v>
      </c>
      <c r="G23" s="209">
        <f>IFERROR(E23+45,"")</f>
        <v/>
      </c>
      <c r="H23" s="208" t="inlineStr"/>
      <c r="I23" s="210">
        <f>IFERROR(IF(H23&lt;&gt;"",MAX(H23-G23,0),MAX(TODAY()-G23,0)),"")</f>
        <v/>
      </c>
      <c r="J23" s="205">
        <f>IFERROR(IF(I23&gt;45,F23,0),0)</f>
        <v/>
      </c>
    </row>
    <row r="24" ht="20" customHeight="1">
      <c r="A24" s="186" t="inlineStr"/>
      <c r="B24" s="207" t="inlineStr"/>
      <c r="C24" s="202" t="inlineStr"/>
      <c r="D24" s="187" t="inlineStr"/>
      <c r="E24" s="208" t="inlineStr"/>
      <c r="F24" s="188" t="n">
        <v>0</v>
      </c>
      <c r="G24" s="209">
        <f>IFERROR(E24+45,"")</f>
        <v/>
      </c>
      <c r="H24" s="208" t="inlineStr"/>
      <c r="I24" s="210">
        <f>IFERROR(IF(H24&lt;&gt;"",MAX(H24-G24,0),MAX(TODAY()-G24,0)),"")</f>
        <v/>
      </c>
      <c r="J24" s="205">
        <f>IFERROR(IF(I24&gt;45,F24,0),0)</f>
        <v/>
      </c>
    </row>
    <row r="25" ht="20" customHeight="1">
      <c r="A25" s="193" t="inlineStr"/>
      <c r="B25" s="207" t="inlineStr"/>
      <c r="C25" s="202" t="inlineStr"/>
      <c r="D25" s="194" t="inlineStr"/>
      <c r="E25" s="208" t="inlineStr"/>
      <c r="F25" s="188" t="n">
        <v>0</v>
      </c>
      <c r="G25" s="209">
        <f>IFERROR(E25+45,"")</f>
        <v/>
      </c>
      <c r="H25" s="208" t="inlineStr"/>
      <c r="I25" s="210">
        <f>IFERROR(IF(H25&lt;&gt;"",MAX(H25-G25,0),MAX(TODAY()-G25,0)),"")</f>
        <v/>
      </c>
      <c r="J25" s="205">
        <f>IFERROR(IF(I25&gt;45,F25,0),0)</f>
        <v/>
      </c>
    </row>
    <row r="26" ht="20" customHeight="1">
      <c r="A26" s="186" t="inlineStr"/>
      <c r="B26" s="207" t="inlineStr"/>
      <c r="C26" s="202" t="inlineStr"/>
      <c r="D26" s="187" t="inlineStr"/>
      <c r="E26" s="208" t="inlineStr"/>
      <c r="F26" s="188" t="n">
        <v>0</v>
      </c>
      <c r="G26" s="209">
        <f>IFERROR(E26+45,"")</f>
        <v/>
      </c>
      <c r="H26" s="208" t="inlineStr"/>
      <c r="I26" s="210">
        <f>IFERROR(IF(H26&lt;&gt;"",MAX(H26-G26,0),MAX(TODAY()-G26,0)),"")</f>
        <v/>
      </c>
      <c r="J26" s="205">
        <f>IFERROR(IF(I26&gt;45,F26,0),0)</f>
        <v/>
      </c>
    </row>
    <row r="27" ht="20" customHeight="1">
      <c r="A27" s="193" t="inlineStr"/>
      <c r="B27" s="207" t="inlineStr"/>
      <c r="C27" s="202" t="inlineStr"/>
      <c r="D27" s="194" t="inlineStr"/>
      <c r="E27" s="208" t="inlineStr"/>
      <c r="F27" s="188" t="n">
        <v>0</v>
      </c>
      <c r="G27" s="209">
        <f>IFERROR(E27+45,"")</f>
        <v/>
      </c>
      <c r="H27" s="208" t="inlineStr"/>
      <c r="I27" s="210">
        <f>IFERROR(IF(H27&lt;&gt;"",MAX(H27-G27,0),MAX(TODAY()-G27,0)),"")</f>
        <v/>
      </c>
      <c r="J27" s="205">
        <f>IFERROR(IF(I27&gt;45,F27,0),0)</f>
        <v/>
      </c>
    </row>
    <row r="28" ht="20" customHeight="1">
      <c r="A28" s="186" t="inlineStr"/>
      <c r="B28" s="207" t="inlineStr"/>
      <c r="C28" s="202" t="inlineStr"/>
      <c r="D28" s="187" t="inlineStr"/>
      <c r="E28" s="208" t="inlineStr"/>
      <c r="F28" s="188" t="n">
        <v>0</v>
      </c>
      <c r="G28" s="209">
        <f>IFERROR(E28+45,"")</f>
        <v/>
      </c>
      <c r="H28" s="208" t="inlineStr"/>
      <c r="I28" s="210">
        <f>IFERROR(IF(H28&lt;&gt;"",MAX(H28-G28,0),MAX(TODAY()-G28,0)),"")</f>
        <v/>
      </c>
      <c r="J28" s="205">
        <f>IFERROR(IF(I28&gt;45,F28,0),0)</f>
        <v/>
      </c>
    </row>
    <row r="29" ht="20" customHeight="1">
      <c r="A29" s="193" t="inlineStr"/>
      <c r="B29" s="207" t="inlineStr"/>
      <c r="C29" s="202" t="inlineStr"/>
      <c r="D29" s="194" t="inlineStr"/>
      <c r="E29" s="208" t="inlineStr"/>
      <c r="F29" s="188" t="n">
        <v>0</v>
      </c>
      <c r="G29" s="209">
        <f>IFERROR(E29+45,"")</f>
        <v/>
      </c>
      <c r="H29" s="208" t="inlineStr"/>
      <c r="I29" s="210">
        <f>IFERROR(IF(H29&lt;&gt;"",MAX(H29-G29,0),MAX(TODAY()-G29,0)),"")</f>
        <v/>
      </c>
      <c r="J29" s="205">
        <f>IFERROR(IF(I29&gt;45,F29,0),0)</f>
        <v/>
      </c>
    </row>
    <row r="30" ht="20" customHeight="1">
      <c r="A30" s="186" t="inlineStr"/>
      <c r="B30" s="207" t="inlineStr"/>
      <c r="C30" s="202" t="inlineStr"/>
      <c r="D30" s="187" t="inlineStr"/>
      <c r="E30" s="208" t="inlineStr"/>
      <c r="F30" s="188" t="n">
        <v>0</v>
      </c>
      <c r="G30" s="209">
        <f>IFERROR(E30+45,"")</f>
        <v/>
      </c>
      <c r="H30" s="208" t="inlineStr"/>
      <c r="I30" s="210">
        <f>IFERROR(IF(H30&lt;&gt;"",MAX(H30-G30,0),MAX(TODAY()-G30,0)),"")</f>
        <v/>
      </c>
      <c r="J30" s="205">
        <f>IFERROR(IF(I30&gt;45,F30,0),0)</f>
        <v/>
      </c>
    </row>
    <row r="31" ht="20" customHeight="1">
      <c r="A31" s="193" t="inlineStr"/>
      <c r="B31" s="207" t="inlineStr"/>
      <c r="C31" s="202" t="inlineStr"/>
      <c r="D31" s="194" t="inlineStr"/>
      <c r="E31" s="208" t="inlineStr"/>
      <c r="F31" s="188" t="n">
        <v>0</v>
      </c>
      <c r="G31" s="209">
        <f>IFERROR(E31+45,"")</f>
        <v/>
      </c>
      <c r="H31" s="208" t="inlineStr"/>
      <c r="I31" s="210">
        <f>IFERROR(IF(H31&lt;&gt;"",MAX(H31-G31,0),MAX(TODAY()-G31,0)),"")</f>
        <v/>
      </c>
      <c r="J31" s="205">
        <f>IFERROR(IF(I31&gt;45,F31,0),0)</f>
        <v/>
      </c>
    </row>
    <row r="32" ht="20" customHeight="1">
      <c r="A32" s="186" t="inlineStr"/>
      <c r="B32" s="207" t="inlineStr"/>
      <c r="C32" s="202" t="inlineStr"/>
      <c r="D32" s="187" t="inlineStr"/>
      <c r="E32" s="208" t="inlineStr"/>
      <c r="F32" s="188" t="n">
        <v>0</v>
      </c>
      <c r="G32" s="209">
        <f>IFERROR(E32+45,"")</f>
        <v/>
      </c>
      <c r="H32" s="208" t="inlineStr"/>
      <c r="I32" s="210">
        <f>IFERROR(IF(H32&lt;&gt;"",MAX(H32-G32,0),MAX(TODAY()-G32,0)),"")</f>
        <v/>
      </c>
      <c r="J32" s="205">
        <f>IFERROR(IF(I32&gt;45,F32,0),0)</f>
        <v/>
      </c>
    </row>
    <row r="33" ht="20" customHeight="1">
      <c r="A33" s="193" t="inlineStr"/>
      <c r="B33" s="207" t="inlineStr"/>
      <c r="C33" s="202" t="inlineStr"/>
      <c r="D33" s="194" t="inlineStr"/>
      <c r="E33" s="208" t="inlineStr"/>
      <c r="F33" s="188" t="n">
        <v>0</v>
      </c>
      <c r="G33" s="209">
        <f>IFERROR(E33+45,"")</f>
        <v/>
      </c>
      <c r="H33" s="208" t="inlineStr"/>
      <c r="I33" s="210">
        <f>IFERROR(IF(H33&lt;&gt;"",MAX(H33-G33,0),MAX(TODAY()-G33,0)),"")</f>
        <v/>
      </c>
      <c r="J33" s="205">
        <f>IFERROR(IF(I33&gt;45,F33,0),0)</f>
        <v/>
      </c>
    </row>
    <row r="34" ht="20" customHeight="1">
      <c r="A34" s="186" t="inlineStr"/>
      <c r="B34" s="207" t="inlineStr"/>
      <c r="C34" s="202" t="inlineStr"/>
      <c r="D34" s="187" t="inlineStr"/>
      <c r="E34" s="208" t="inlineStr"/>
      <c r="F34" s="188" t="n">
        <v>0</v>
      </c>
      <c r="G34" s="209">
        <f>IFERROR(E34+45,"")</f>
        <v/>
      </c>
      <c r="H34" s="208" t="inlineStr"/>
      <c r="I34" s="210">
        <f>IFERROR(IF(H34&lt;&gt;"",MAX(H34-G34,0),MAX(TODAY()-G34,0)),"")</f>
        <v/>
      </c>
      <c r="J34" s="205">
        <f>IFERROR(IF(I34&gt;45,F34,0),0)</f>
        <v/>
      </c>
    </row>
    <row r="35" ht="20" customHeight="1">
      <c r="A35" s="193" t="inlineStr"/>
      <c r="B35" s="207" t="inlineStr"/>
      <c r="C35" s="202" t="inlineStr"/>
      <c r="D35" s="194" t="inlineStr"/>
      <c r="E35" s="208" t="inlineStr"/>
      <c r="F35" s="188" t="n">
        <v>0</v>
      </c>
      <c r="G35" s="209">
        <f>IFERROR(E35+45,"")</f>
        <v/>
      </c>
      <c r="H35" s="208" t="inlineStr"/>
      <c r="I35" s="210">
        <f>IFERROR(IF(H35&lt;&gt;"",MAX(H35-G35,0),MAX(TODAY()-G35,0)),"")</f>
        <v/>
      </c>
      <c r="J35" s="205">
        <f>IFERROR(IF(I35&gt;45,F35,0),0)</f>
        <v/>
      </c>
    </row>
    <row r="36" ht="20" customHeight="1">
      <c r="A36" s="186" t="inlineStr"/>
      <c r="B36" s="207" t="inlineStr"/>
      <c r="C36" s="202" t="inlineStr"/>
      <c r="D36" s="187" t="inlineStr"/>
      <c r="E36" s="208" t="inlineStr"/>
      <c r="F36" s="188" t="n">
        <v>0</v>
      </c>
      <c r="G36" s="209">
        <f>IFERROR(E36+45,"")</f>
        <v/>
      </c>
      <c r="H36" s="208" t="inlineStr"/>
      <c r="I36" s="210">
        <f>IFERROR(IF(H36&lt;&gt;"",MAX(H36-G36,0),MAX(TODAY()-G36,0)),"")</f>
        <v/>
      </c>
      <c r="J36" s="205">
        <f>IFERROR(IF(I36&gt;45,F36,0),0)</f>
        <v/>
      </c>
    </row>
    <row r="37" ht="20" customHeight="1">
      <c r="A37" s="193" t="inlineStr"/>
      <c r="B37" s="207" t="inlineStr"/>
      <c r="C37" s="202" t="inlineStr"/>
      <c r="D37" s="194" t="inlineStr"/>
      <c r="E37" s="208" t="inlineStr"/>
      <c r="F37" s="188" t="n">
        <v>0</v>
      </c>
      <c r="G37" s="209">
        <f>IFERROR(E37+45,"")</f>
        <v/>
      </c>
      <c r="H37" s="208" t="inlineStr"/>
      <c r="I37" s="210">
        <f>IFERROR(IF(H37&lt;&gt;"",MAX(H37-G37,0),MAX(TODAY()-G37,0)),"")</f>
        <v/>
      </c>
      <c r="J37" s="205">
        <f>IFERROR(IF(I37&gt;45,F37,0),0)</f>
        <v/>
      </c>
    </row>
    <row r="38" ht="20" customHeight="1">
      <c r="A38" s="186" t="inlineStr"/>
      <c r="B38" s="207" t="inlineStr"/>
      <c r="C38" s="202" t="inlineStr"/>
      <c r="D38" s="187" t="inlineStr"/>
      <c r="E38" s="208" t="inlineStr"/>
      <c r="F38" s="188" t="n">
        <v>0</v>
      </c>
      <c r="G38" s="209">
        <f>IFERROR(E38+45,"")</f>
        <v/>
      </c>
      <c r="H38" s="208" t="inlineStr"/>
      <c r="I38" s="210">
        <f>IFERROR(IF(H38&lt;&gt;"",MAX(H38-G38,0),MAX(TODAY()-G38,0)),"")</f>
        <v/>
      </c>
      <c r="J38" s="205">
        <f>IFERROR(IF(I38&gt;45,F38,0),0)</f>
        <v/>
      </c>
    </row>
    <row r="39" ht="20" customHeight="1">
      <c r="A39" s="193" t="inlineStr"/>
      <c r="B39" s="207" t="inlineStr"/>
      <c r="C39" s="202" t="inlineStr"/>
      <c r="D39" s="194" t="inlineStr"/>
      <c r="E39" s="208" t="inlineStr"/>
      <c r="F39" s="188" t="n">
        <v>0</v>
      </c>
      <c r="G39" s="209">
        <f>IFERROR(E39+45,"")</f>
        <v/>
      </c>
      <c r="H39" s="208" t="inlineStr"/>
      <c r="I39" s="210">
        <f>IFERROR(IF(H39&lt;&gt;"",MAX(H39-G39,0),MAX(TODAY()-G39,0)),"")</f>
        <v/>
      </c>
      <c r="J39" s="205">
        <f>IFERROR(IF(I39&gt;45,F39,0),0)</f>
        <v/>
      </c>
    </row>
    <row r="40" ht="20" customHeight="1">
      <c r="A40" s="186" t="inlineStr"/>
      <c r="B40" s="207" t="inlineStr"/>
      <c r="C40" s="202" t="inlineStr"/>
      <c r="D40" s="187" t="inlineStr"/>
      <c r="E40" s="208" t="inlineStr"/>
      <c r="F40" s="188" t="n">
        <v>0</v>
      </c>
      <c r="G40" s="209">
        <f>IFERROR(E40+45,"")</f>
        <v/>
      </c>
      <c r="H40" s="208" t="inlineStr"/>
      <c r="I40" s="210">
        <f>IFERROR(IF(H40&lt;&gt;"",MAX(H40-G40,0),MAX(TODAY()-G40,0)),"")</f>
        <v/>
      </c>
      <c r="J40" s="205">
        <f>IFERROR(IF(I40&gt;45,F40,0),0)</f>
        <v/>
      </c>
    </row>
    <row r="41" ht="20" customHeight="1">
      <c r="A41" s="193" t="inlineStr"/>
      <c r="B41" s="207" t="inlineStr"/>
      <c r="C41" s="202" t="inlineStr"/>
      <c r="D41" s="194" t="inlineStr"/>
      <c r="E41" s="208" t="inlineStr"/>
      <c r="F41" s="188" t="n">
        <v>0</v>
      </c>
      <c r="G41" s="209">
        <f>IFERROR(E41+45,"")</f>
        <v/>
      </c>
      <c r="H41" s="208" t="inlineStr"/>
      <c r="I41" s="210">
        <f>IFERROR(IF(H41&lt;&gt;"",MAX(H41-G41,0),MAX(TODAY()-G41,0)),"")</f>
        <v/>
      </c>
      <c r="J41" s="205">
        <f>IFERROR(IF(I41&gt;45,F41,0),0)</f>
        <v/>
      </c>
    </row>
    <row r="42" ht="20" customHeight="1">
      <c r="A42" s="186" t="inlineStr"/>
      <c r="B42" s="207" t="inlineStr"/>
      <c r="C42" s="202" t="inlineStr"/>
      <c r="D42" s="187" t="inlineStr"/>
      <c r="E42" s="208" t="inlineStr"/>
      <c r="F42" s="188" t="n">
        <v>0</v>
      </c>
      <c r="G42" s="209">
        <f>IFERROR(E42+45,"")</f>
        <v/>
      </c>
      <c r="H42" s="208" t="inlineStr"/>
      <c r="I42" s="210">
        <f>IFERROR(IF(H42&lt;&gt;"",MAX(H42-G42,0),MAX(TODAY()-G42,0)),"")</f>
        <v/>
      </c>
      <c r="J42" s="205">
        <f>IFERROR(IF(I42&gt;45,F42,0),0)</f>
        <v/>
      </c>
    </row>
    <row r="43" ht="20" customHeight="1">
      <c r="A43" s="193" t="inlineStr"/>
      <c r="B43" s="207" t="inlineStr"/>
      <c r="C43" s="202" t="inlineStr"/>
      <c r="D43" s="194" t="inlineStr"/>
      <c r="E43" s="208" t="inlineStr"/>
      <c r="F43" s="188" t="n">
        <v>0</v>
      </c>
      <c r="G43" s="209">
        <f>IFERROR(E43+45,"")</f>
        <v/>
      </c>
      <c r="H43" s="208" t="inlineStr"/>
      <c r="I43" s="210">
        <f>IFERROR(IF(H43&lt;&gt;"",MAX(H43-G43,0),MAX(TODAY()-G43,0)),"")</f>
        <v/>
      </c>
      <c r="J43" s="205">
        <f>IFERROR(IF(I43&gt;45,F43,0),0)</f>
        <v/>
      </c>
    </row>
    <row r="44" ht="20" customHeight="1">
      <c r="A44" s="186" t="inlineStr"/>
      <c r="B44" s="207" t="inlineStr"/>
      <c r="C44" s="202" t="inlineStr"/>
      <c r="D44" s="187" t="inlineStr"/>
      <c r="E44" s="208" t="inlineStr"/>
      <c r="F44" s="188" t="n">
        <v>0</v>
      </c>
      <c r="G44" s="209">
        <f>IFERROR(E44+45,"")</f>
        <v/>
      </c>
      <c r="H44" s="208" t="inlineStr"/>
      <c r="I44" s="210">
        <f>IFERROR(IF(H44&lt;&gt;"",MAX(H44-G44,0),MAX(TODAY()-G44,0)),"")</f>
        <v/>
      </c>
      <c r="J44" s="205">
        <f>IFERROR(IF(I44&gt;45,F44,0),0)</f>
        <v/>
      </c>
    </row>
    <row r="45" ht="20" customHeight="1">
      <c r="A45" s="193" t="inlineStr"/>
      <c r="B45" s="207" t="inlineStr"/>
      <c r="C45" s="202" t="inlineStr"/>
      <c r="D45" s="194" t="inlineStr"/>
      <c r="E45" s="208" t="inlineStr"/>
      <c r="F45" s="188" t="n">
        <v>0</v>
      </c>
      <c r="G45" s="209">
        <f>IFERROR(E45+45,"")</f>
        <v/>
      </c>
      <c r="H45" s="208" t="inlineStr"/>
      <c r="I45" s="210">
        <f>IFERROR(IF(H45&lt;&gt;"",MAX(H45-G45,0),MAX(TODAY()-G45,0)),"")</f>
        <v/>
      </c>
      <c r="J45" s="205">
        <f>IFERROR(IF(I45&gt;45,F45,0),0)</f>
        <v/>
      </c>
    </row>
    <row r="46" ht="20" customHeight="1">
      <c r="A46" s="186" t="inlineStr"/>
      <c r="B46" s="207" t="inlineStr"/>
      <c r="C46" s="202" t="inlineStr"/>
      <c r="D46" s="187" t="inlineStr"/>
      <c r="E46" s="208" t="inlineStr"/>
      <c r="F46" s="188" t="n">
        <v>0</v>
      </c>
      <c r="G46" s="209">
        <f>IFERROR(E46+45,"")</f>
        <v/>
      </c>
      <c r="H46" s="208" t="inlineStr"/>
      <c r="I46" s="210">
        <f>IFERROR(IF(H46&lt;&gt;"",MAX(H46-G46,0),MAX(TODAY()-G46,0)),"")</f>
        <v/>
      </c>
      <c r="J46" s="205">
        <f>IFERROR(IF(I46&gt;45,F46,0),0)</f>
        <v/>
      </c>
    </row>
    <row r="47" ht="20" customHeight="1">
      <c r="A47" s="193" t="inlineStr"/>
      <c r="B47" s="207" t="inlineStr"/>
      <c r="C47" s="202" t="inlineStr"/>
      <c r="D47" s="194" t="inlineStr"/>
      <c r="E47" s="208" t="inlineStr"/>
      <c r="F47" s="188" t="n">
        <v>0</v>
      </c>
      <c r="G47" s="209">
        <f>IFERROR(E47+45,"")</f>
        <v/>
      </c>
      <c r="H47" s="208" t="inlineStr"/>
      <c r="I47" s="210">
        <f>IFERROR(IF(H47&lt;&gt;"",MAX(H47-G47,0),MAX(TODAY()-G47,0)),"")</f>
        <v/>
      </c>
      <c r="J47" s="205">
        <f>IFERROR(IF(I47&gt;45,F47,0),0)</f>
        <v/>
      </c>
    </row>
    <row r="48" ht="20" customHeight="1">
      <c r="A48" s="186" t="inlineStr"/>
      <c r="B48" s="207" t="inlineStr"/>
      <c r="C48" s="202" t="inlineStr"/>
      <c r="D48" s="187" t="inlineStr"/>
      <c r="E48" s="208" t="inlineStr"/>
      <c r="F48" s="188" t="n">
        <v>0</v>
      </c>
      <c r="G48" s="209">
        <f>IFERROR(E48+45,"")</f>
        <v/>
      </c>
      <c r="H48" s="208" t="inlineStr"/>
      <c r="I48" s="210">
        <f>IFERROR(IF(H48&lt;&gt;"",MAX(H48-G48,0),MAX(TODAY()-G48,0)),"")</f>
        <v/>
      </c>
      <c r="J48" s="205">
        <f>IFERROR(IF(I48&gt;45,F48,0),0)</f>
        <v/>
      </c>
    </row>
    <row r="49" ht="20" customHeight="1">
      <c r="A49" s="193" t="inlineStr"/>
      <c r="B49" s="207" t="inlineStr"/>
      <c r="C49" s="202" t="inlineStr"/>
      <c r="D49" s="194" t="inlineStr"/>
      <c r="E49" s="208" t="inlineStr"/>
      <c r="F49" s="188" t="n">
        <v>0</v>
      </c>
      <c r="G49" s="209">
        <f>IFERROR(E49+45,"")</f>
        <v/>
      </c>
      <c r="H49" s="208" t="inlineStr"/>
      <c r="I49" s="210">
        <f>IFERROR(IF(H49&lt;&gt;"",MAX(H49-G49,0),MAX(TODAY()-G49,0)),"")</f>
        <v/>
      </c>
      <c r="J49" s="205">
        <f>IFERROR(IF(I49&gt;45,F49,0),0)</f>
        <v/>
      </c>
    </row>
    <row r="50" ht="20" customHeight="1">
      <c r="A50" s="186" t="inlineStr"/>
      <c r="B50" s="207" t="inlineStr"/>
      <c r="C50" s="202" t="inlineStr"/>
      <c r="D50" s="187" t="inlineStr"/>
      <c r="E50" s="208" t="inlineStr"/>
      <c r="F50" s="188" t="n">
        <v>0</v>
      </c>
      <c r="G50" s="209">
        <f>IFERROR(E50+45,"")</f>
        <v/>
      </c>
      <c r="H50" s="208" t="inlineStr"/>
      <c r="I50" s="210">
        <f>IFERROR(IF(H50&lt;&gt;"",MAX(H50-G50,0),MAX(TODAY()-G50,0)),"")</f>
        <v/>
      </c>
      <c r="J50" s="205">
        <f>IFERROR(IF(I50&gt;45,F50,0),0)</f>
        <v/>
      </c>
    </row>
    <row r="51" ht="20" customHeight="1">
      <c r="A51" s="193" t="inlineStr"/>
      <c r="B51" s="207" t="inlineStr"/>
      <c r="C51" s="202" t="inlineStr"/>
      <c r="D51" s="194" t="inlineStr"/>
      <c r="E51" s="208" t="inlineStr"/>
      <c r="F51" s="188" t="n">
        <v>0</v>
      </c>
      <c r="G51" s="209">
        <f>IFERROR(E51+45,"")</f>
        <v/>
      </c>
      <c r="H51" s="208" t="inlineStr"/>
      <c r="I51" s="210">
        <f>IFERROR(IF(H51&lt;&gt;"",MAX(H51-G51,0),MAX(TODAY()-G51,0)),"")</f>
        <v/>
      </c>
      <c r="J51" s="205">
        <f>IFERROR(IF(I51&gt;45,F51,0),0)</f>
        <v/>
      </c>
    </row>
    <row r="52" ht="20" customHeight="1">
      <c r="A52" s="186" t="inlineStr"/>
      <c r="B52" s="207" t="inlineStr"/>
      <c r="C52" s="202" t="inlineStr"/>
      <c r="D52" s="187" t="inlineStr"/>
      <c r="E52" s="208" t="inlineStr"/>
      <c r="F52" s="188" t="n">
        <v>0</v>
      </c>
      <c r="G52" s="209">
        <f>IFERROR(E52+45,"")</f>
        <v/>
      </c>
      <c r="H52" s="208" t="inlineStr"/>
      <c r="I52" s="210">
        <f>IFERROR(IF(H52&lt;&gt;"",MAX(H52-G52,0),MAX(TODAY()-G52,0)),"")</f>
        <v/>
      </c>
      <c r="J52" s="205">
        <f>IFERROR(IF(I52&gt;45,F52,0),0)</f>
        <v/>
      </c>
    </row>
    <row r="53" ht="20" customHeight="1">
      <c r="A53" s="193" t="inlineStr"/>
      <c r="B53" s="207" t="inlineStr"/>
      <c r="C53" s="202" t="inlineStr"/>
      <c r="D53" s="194" t="inlineStr"/>
      <c r="E53" s="208" t="inlineStr"/>
      <c r="F53" s="188" t="n">
        <v>0</v>
      </c>
      <c r="G53" s="209">
        <f>IFERROR(E53+45,"")</f>
        <v/>
      </c>
      <c r="H53" s="208" t="inlineStr"/>
      <c r="I53" s="210">
        <f>IFERROR(IF(H53&lt;&gt;"",MAX(H53-G53,0),MAX(TODAY()-G53,0)),"")</f>
        <v/>
      </c>
      <c r="J53" s="205">
        <f>IFERROR(IF(I53&gt;45,F53,0),0)</f>
        <v/>
      </c>
    </row>
    <row r="54" ht="20" customHeight="1">
      <c r="A54" s="186" t="inlineStr"/>
      <c r="B54" s="207" t="inlineStr"/>
      <c r="C54" s="202" t="inlineStr"/>
      <c r="D54" s="187" t="inlineStr"/>
      <c r="E54" s="208" t="inlineStr"/>
      <c r="F54" s="188" t="n">
        <v>0</v>
      </c>
      <c r="G54" s="209">
        <f>IFERROR(E54+45,"")</f>
        <v/>
      </c>
      <c r="H54" s="208" t="inlineStr"/>
      <c r="I54" s="210">
        <f>IFERROR(IF(H54&lt;&gt;"",MAX(H54-G54,0),MAX(TODAY()-G54,0)),"")</f>
        <v/>
      </c>
      <c r="J54" s="205">
        <f>IFERROR(IF(I54&gt;45,F54,0),0)</f>
        <v/>
      </c>
    </row>
    <row r="55">
      <c r="A55" s="52" t="inlineStr">
        <is>
          <t>TOTAL DISALLOWANCE u/s 43B(h)</t>
        </is>
      </c>
      <c r="J55" s="211">
        <f>SUM(J5:J54)</f>
        <v/>
      </c>
    </row>
  </sheetData>
  <mergeCells count="3">
    <mergeCell ref="A55:I55"/>
    <mergeCell ref="A1:J1"/>
    <mergeCell ref="A2:J2"/>
  </mergeCells>
  <dataValidations count="1">
    <dataValidation sqref="C5:C54" showDropDown="0" showInputMessage="0" showErrorMessage="0" allowBlank="1" type="list">
      <formula1>"Micro,Small,Medium,Not Registered — Check ⚠️"</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18" customWidth="1" min="1" max="1"/>
    <col width="30" customWidth="1" min="2" max="2"/>
    <col width="95" customWidth="1" min="3" max="3"/>
    <col width="30" customWidth="1" min="4" max="4"/>
    <col width="12" customWidth="1" min="5" max="5"/>
  </cols>
  <sheetData>
    <row r="1">
      <c r="A1" s="30" t="inlineStr">
        <is>
          <t>AI AUDIT ASSISTANT — PROMPT LIBRARY  |  PRATAP B SHETH &amp; CO.</t>
        </is>
      </c>
    </row>
    <row r="2">
      <c r="A2" s="31" t="inlineStr">
        <is>
          <t>Ready-to-use prompts. Paste into AI Audit Assistant app or ChatGPT. Add your data after the prompt.</t>
        </is>
      </c>
    </row>
    <row r="4">
      <c r="A4" s="185" t="inlineStr">
        <is>
          <t>Category</t>
        </is>
      </c>
      <c r="B4" s="185" t="inlineStr">
        <is>
          <t>Use Case</t>
        </is>
      </c>
      <c r="C4" s="185" t="inlineStr">
        <is>
          <t>Prompt to Use</t>
        </is>
      </c>
      <c r="D4" s="185" t="inlineStr">
        <is>
          <t>Output Expected</t>
        </is>
      </c>
      <c r="E4" s="185" t="inlineStr">
        <is>
          <t>Priority</t>
        </is>
      </c>
    </row>
    <row r="5" ht="70" customHeight="1">
      <c r="A5" s="198" t="inlineStr">
        <is>
          <t>TB Scrutiny</t>
        </is>
      </c>
      <c r="B5" s="85" t="inlineStr">
        <is>
          <t>Full TB Risk Analysis</t>
        </is>
      </c>
      <c r="C5" s="34" t="inlineStr">
        <is>
          <t>Act as a senior Chartered Accountant conducting statutory + tax audit for FY 2025-26 (Indian laws: Companies Act 2013, IT Act 1961, GST Act). Review the Trial Balance pasted below and identify: (1) Statutory audit risks by area (2) Tax disallowances — Sec 40, 40A, 43B (3) GST risks — ITC, RCM, GSTR reconciliation (4) Unusual/negative balances (5) Reclassification entries needed (6) Missing provisions (7) CARO 2020 paragraphs likely to be qualified (8) Related party indicators (9) TDS default indicators (10) Top 10 audit queries for management. Provide output as structured report.</t>
        </is>
      </c>
      <c r="D5" s="212" t="inlineStr">
        <is>
          <t>10-point risk report + audit queries</t>
        </is>
      </c>
      <c r="E5" s="210" t="inlineStr">
        <is>
          <t>High</t>
        </is>
      </c>
    </row>
    <row r="6" ht="70" customHeight="1">
      <c r="A6" s="198" t="inlineStr">
        <is>
          <t>TB Scrutiny</t>
        </is>
      </c>
      <c r="B6" s="83" t="inlineStr">
        <is>
          <t>Expense Disallowance Scan</t>
        </is>
      </c>
      <c r="C6" s="40" t="inlineStr">
        <is>
          <t>Review the expense ledgers in the Trial Balance below and identify all amounts disallowable under IT Act. Section-wise analysis: Sec 37(1) — non-business/personal/capital in nature. Sec 40(a)(ia) — TDS default. Sec 40A(2) — related party excess. Sec 40A(3) — cash payments &gt;₹10,000. Sec 43B — delayed statutory dues. Sec 43B(h) — MSME payments. Provide estimated disallowance amount against each ledger.</t>
        </is>
      </c>
      <c r="D6" s="212" t="inlineStr">
        <is>
          <t>Section-wise disallowance working</t>
        </is>
      </c>
      <c r="E6" s="210" t="inlineStr">
        <is>
          <t>High</t>
        </is>
      </c>
    </row>
    <row r="7" ht="70" customHeight="1">
      <c r="A7" s="198" t="inlineStr">
        <is>
          <t>TB Scrutiny</t>
        </is>
      </c>
      <c r="B7" s="85" t="inlineStr">
        <is>
          <t>CARO 2020 Risk Flags</t>
        </is>
      </c>
      <c r="C7" s="34" t="inlineStr">
        <is>
          <t>Based on the Trial Balance below, identify which of the 21 CARO 2020 paragraphs are likely to carry adverse or qualified reporting. For each flagged paragraph: state the specific TB figure/ratio triggering concern, what information you need from management, and draft the likely CARO observation language.</t>
        </is>
      </c>
      <c r="D7" s="212" t="inlineStr">
        <is>
          <t>Para-wise CARO risk + draft language</t>
        </is>
      </c>
      <c r="E7" s="210" t="inlineStr">
        <is>
          <t>High</t>
        </is>
      </c>
    </row>
    <row r="8" ht="70" customHeight="1">
      <c r="A8" s="198" t="inlineStr">
        <is>
          <t>TB Scrutiny</t>
        </is>
      </c>
      <c r="B8" s="83" t="inlineStr">
        <is>
          <t>Going Concern Assessment</t>
        </is>
      </c>
      <c r="C8" s="40" t="inlineStr">
        <is>
          <t>Based on the following financial data for FY 2025-26, conduct a going concern assessment per SA 570: (1) Current ratio, working capital position (2) Consecutive losses or declining profitability (3) Overdue loan repayments (4) Dependency on key customers/suppliers (5) Regulatory/legal issues. Output: Key indicators of going concern doubt, management mitigating factors to verify, suggested audit report disclosure language.</t>
        </is>
      </c>
      <c r="D8" s="212" t="inlineStr">
        <is>
          <t>Going concern risk + disclosure draft</t>
        </is>
      </c>
      <c r="E8" s="213" t="inlineStr">
        <is>
          <t>Critical</t>
        </is>
      </c>
    </row>
    <row r="9" ht="70" customHeight="1">
      <c r="A9" s="198" t="inlineStr">
        <is>
          <t>Ledger Scrutiny</t>
        </is>
      </c>
      <c r="B9" s="85" t="inlineStr">
        <is>
          <t>Cash Ledger</t>
        </is>
      </c>
      <c r="C9" s="34" t="inlineStr">
        <is>
          <t>You are a forensic CA reviewing a cash ledger for audit purposes. Analyse the entries below and flag: (1) All payments &gt;₹10,000 — potential Sec 40A(3) disallowance (2) Round-sum entries possibly fictitious (3) Suspicious narrations — 'petty cash', 'advance', 'miscellaneous' without voucher details (4) Year-end credit entries adjusting balance (5) Payments to directors/relatives (6) GST implications — cash purchases from registered vendors (7) Sec 269SS — cash loans received &gt;₹20,000. Rate each entry: High/Medium/Low risk.</t>
        </is>
      </c>
      <c r="D9" s="212" t="inlineStr">
        <is>
          <t>Entry-wise flagged risk register</t>
        </is>
      </c>
      <c r="E9" s="210" t="inlineStr">
        <is>
          <t>High</t>
        </is>
      </c>
    </row>
    <row r="10" ht="70" customHeight="1">
      <c r="A10" s="198" t="inlineStr">
        <is>
          <t>Ledger Scrutiny</t>
        </is>
      </c>
      <c r="B10" s="83" t="inlineStr">
        <is>
          <t>Unsecured Loans</t>
        </is>
      </c>
      <c r="C10" s="40" t="inlineStr">
        <is>
          <t>Review this Unsecured Loans ledger for: (1) Sec 269SS — cash receipts &gt;₹20,000 (2) Sec 269T — cash repayments &gt;₹20,000 (3) Sec 2(22)(e) deemed dividend — shareholder/concern loans (4) Interest provision — TDS u/s 194A applicability (5) Source of funds — whether any entries suggest accommodation entries (round-tripping) (6) Year-end borrowing pattern — borrowed just before year-end, returned shortly after (window dressing). Flag each entry.</t>
        </is>
      </c>
      <c r="D10" s="212" t="inlineStr">
        <is>
          <t>Compliance checklist + red flags</t>
        </is>
      </c>
      <c r="E10" s="210" t="inlineStr">
        <is>
          <t>High</t>
        </is>
      </c>
    </row>
    <row r="11" ht="70" customHeight="1">
      <c r="A11" s="198" t="inlineStr">
        <is>
          <t>Ledger Scrutiny</t>
        </is>
      </c>
      <c r="B11" s="85" t="inlineStr">
        <is>
          <t>Salary &amp; Payroll</t>
        </is>
      </c>
      <c r="C11" s="34" t="inlineStr">
        <is>
          <t>Review this salary ledger: (1) Monthly trend — unusual spikes in any month suggesting ghost entries or unplanned payments (2) TDS u/s 192 — check if deducted on each payroll credit (3) PF/ESIC — employee contribution deducted and deposited before due date u/s 36(1)(va) — CRITICAL: Supreme Court ruling in Checkmate — employee share disallowed if deposited late (4) Director remuneration — Sec 197 limit compliance (5) Cash salary payments — Sec 40A(3) (6) Bonus — whether paid before ITR filing date u/s 43B.</t>
        </is>
      </c>
      <c r="D11" s="212" t="inlineStr">
        <is>
          <t>Payroll compliance risk report</t>
        </is>
      </c>
      <c r="E11" s="210" t="inlineStr">
        <is>
          <t>High</t>
        </is>
      </c>
    </row>
    <row r="12" ht="70" customHeight="1">
      <c r="A12" s="198" t="inlineStr">
        <is>
          <t>Ledger Scrutiny</t>
        </is>
      </c>
      <c r="B12" s="83" t="inlineStr">
        <is>
          <t>Professional &amp; Legal Fees</t>
        </is>
      </c>
      <c r="C12" s="40" t="inlineStr">
        <is>
          <t>Review this professional/legal fees ledger: (1) TDS u/s 194J — deducted on each payment? Short deduction? (2) RCM u/s 9(3) — payments to advocates, senior counsels, arbitral tribunals (3) Non-deductible items — penalties, fines, compounding fees (Sec 37(1)) (4) Related party payments — Sec 40A(2) arm's length (5) GST ITC — correctly availed? Blocked credit? (6) Split payments to avoid TDS threshold (7) Retainer fees — monthly consistency. Compute 40(a)(ia) disallowance estimate.</t>
        </is>
      </c>
      <c r="D12" s="212" t="inlineStr">
        <is>
          <t>TDS + GST + disallowance report</t>
        </is>
      </c>
      <c r="E12" s="210" t="inlineStr">
        <is>
          <t>High</t>
        </is>
      </c>
    </row>
    <row r="13" ht="70" customHeight="1">
      <c r="A13" s="198" t="inlineStr">
        <is>
          <t>Variance Analysis</t>
        </is>
      </c>
      <c r="B13" s="85" t="inlineStr">
        <is>
          <t>PY vs CY Full Analysis</t>
        </is>
      </c>
      <c r="C13" s="34" t="inlineStr">
        <is>
          <t>Compare the following FY 2024-25 (audited) and FY 2025-26 (current year) financial data. Identify: (1) All P&amp;L line items with &gt;20% change — explain possible reasons and audit risk (2) Gross profit % change — trace to revenue, purchases, inventory (3) Key expenses growing faster than revenue (4) Balance Sheet items with unusual movement (5) Debtor days, creditor days, inventory days change (6) Interest cost vs borrowings movement (7) Top 10 items requiring mandatory audit investigation with suggested procedures.</t>
        </is>
      </c>
      <c r="D13" s="212" t="inlineStr">
        <is>
          <t>Variance analysis + investigation plan</t>
        </is>
      </c>
      <c r="E13" s="210" t="inlineStr">
        <is>
          <t>High</t>
        </is>
      </c>
    </row>
    <row r="14" ht="70" customHeight="1">
      <c r="A14" s="198" t="inlineStr">
        <is>
          <t>Variance Analysis</t>
        </is>
      </c>
      <c r="B14" s="83" t="inlineStr">
        <is>
          <t>Gross Profit Deep Dive</t>
        </is>
      </c>
      <c r="C14" s="40" t="inlineStr">
        <is>
          <t>Gross Profit has changed from [PY%] to [CY%] between FY24-25 and FY25-26. As an audit partner, analyse all possible audit explanations: (1) Revenue timing — early/late recognition (2) Inventory overstatement — inflated closing stock (3) Purchase understatement — unrecorded creditors (4) Sales return treatment (5) Discount policy change (6) Cost allocation change (7) Theft/pilferage (8) Related party sales at non-arm's length prices. For each possibility — state the audit procedure to verify.</t>
        </is>
      </c>
      <c r="D14" s="212" t="inlineStr">
        <is>
          <t>GP change investigation program</t>
        </is>
      </c>
      <c r="E14" s="210" t="inlineStr">
        <is>
          <t>High</t>
        </is>
      </c>
    </row>
    <row r="15" ht="70" customHeight="1">
      <c r="A15" s="198" t="inlineStr">
        <is>
          <t>GST Review</t>
        </is>
      </c>
      <c r="B15" s="85" t="inlineStr">
        <is>
          <t>GSTR-1 vs 3B vs Books</t>
        </is>
      </c>
      <c r="C15" s="34" t="inlineStr">
        <is>
          <t>Review the following GST data: GSTR-1 summary (outward supplies declared), GSTR-3B summary (tax paid), and Books turnover. Identify month-wise: (1) Turnover mismatch — Books vs GSTR-1 (2) Tax liability in 3B lower than GSTR-1 — under-declaration (3) Credit notes in GSTR-1 vs books (4) Advances received — whether GST paid (5) Exempt/NIL/Non-GST supplies — properly classified (6) HSN inconsistencies. Provide month-wise reconciliation table and highlight shortfall in GST payment.</t>
        </is>
      </c>
      <c r="D15" s="212" t="inlineStr">
        <is>
          <t>Month-wise GST reconciliation</t>
        </is>
      </c>
      <c r="E15" s="210" t="inlineStr">
        <is>
          <t>High</t>
        </is>
      </c>
    </row>
    <row r="16" ht="70" customHeight="1">
      <c r="A16" s="198" t="inlineStr">
        <is>
          <t>GST Review</t>
        </is>
      </c>
      <c r="B16" s="83" t="inlineStr">
        <is>
          <t>ITC Reversal Computation</t>
        </is>
      </c>
      <c r="C16" s="40" t="inlineStr">
        <is>
          <t>Review the ITC availed as per GSTR-3B vs GSTR-2B. Compute: (1) ITC availed but not in GSTR-2B — supplier non-compliance (2) Blocked credits u/s 17(5) incorrectly availed — motor vehicles, food, club (3) RCM — verify GST paid before ITC claimed (4) Rule 37 reversal — identify vendors not paid within 180 days from invoice date and compute reversal (5) Rule 42 reversal — compute ITC reversal on exempt + non-business supplies using annual formula. Net ITC reversal required with section reference.</t>
        </is>
      </c>
      <c r="D16" s="212" t="inlineStr">
        <is>
          <t>ITC reversal workings</t>
        </is>
      </c>
      <c r="E16" s="210" t="inlineStr">
        <is>
          <t>High</t>
        </is>
      </c>
    </row>
    <row r="17" ht="70" customHeight="1">
      <c r="A17" s="198" t="inlineStr">
        <is>
          <t>Tax Audit</t>
        </is>
      </c>
      <c r="B17" s="85" t="inlineStr">
        <is>
          <t>Clause 26 — Sec 43B Verification</t>
        </is>
      </c>
      <c r="C17" s="34" t="inlineStr">
        <is>
          <t>Verify the following statutory dues for Sec 43B compliance in Form 3CD Clause 26 for FY 2025-26: For each item — (a) Amount per books (b) Due date under respective law (c) Actual payment date per challan (d) Whether paid before 31-Oct-2026 (ITR due date) (e) Delayed amount. Items: Employee PF (due 15th of next month), Employee ESIC (due 15th), Employer PF, Bonus (u/s 43B — pay before ITR date), Income Tax, GST, Profession Tax, MSME Payments (Sec 43B(h) — 45-day rule). Compute section-wise disallowance.</t>
        </is>
      </c>
      <c r="D17" s="212" t="inlineStr">
        <is>
          <t>Clause 26 Sec 43B working</t>
        </is>
      </c>
      <c r="E17" s="210" t="inlineStr">
        <is>
          <t>High</t>
        </is>
      </c>
    </row>
    <row r="18" ht="70" customHeight="1">
      <c r="A18" s="198" t="inlineStr">
        <is>
          <t>Tax Audit</t>
        </is>
      </c>
      <c r="B18" s="83" t="inlineStr">
        <is>
          <t>Clause 17 — All Disallowances</t>
        </is>
      </c>
      <c r="C18" s="40" t="inlineStr">
        <is>
          <t>Prepare a comprehensive list of amounts disallowable for reporting under Clause 17 of Form 3CD for FY 2025-26. Categorise as: (a) Sec 40(a)(ia) — TDS default — 30% of expense (b) Sec 40A(2) — excess payment to related parties (c) Sec 40A(3) — cash payments &gt;₹10,000 — 100% (d) Sec 37(1) — personal/non-business/capital expenses (e) Sec 37(2B) — political contribution (f) Penalties/fines paid to any authority (non-deductible) (g) CSR contribution over required amount. Total disallowance with section reference.</t>
        </is>
      </c>
      <c r="D18" s="212" t="inlineStr">
        <is>
          <t>Clause 17 Form 3CD working</t>
        </is>
      </c>
      <c r="E18" s="210" t="inlineStr">
        <is>
          <t>High</t>
        </is>
      </c>
    </row>
    <row r="19" ht="70" customHeight="1">
      <c r="A19" s="198" t="inlineStr">
        <is>
          <t>Tax Audit</t>
        </is>
      </c>
      <c r="B19" s="85" t="inlineStr">
        <is>
          <t>Clause 34 — TDS Verification</t>
        </is>
      </c>
      <c r="C19" s="34" t="inlineStr">
        <is>
          <t>For Clause 34 of Form 3CD — verify TDS compliance for FY 2025-26: For each payment category (192, 194A, 194C, 194H, 194I, 194J, 195): (1) Whether applicable (2) Total payment made (3) TDS rate applied (4) TDS deducted — correct rate? (5) Date of deduction vs date of deposit — any delay? (6) Interest u/s 201A for delay (7) Short deduction amount. Also check: Timely filing of 26Q, 27Q quarterly returns. Any non-filing? Late filing fees u/s 234E?</t>
        </is>
      </c>
      <c r="D19" s="212" t="inlineStr">
        <is>
          <t>Clause 34 TDS compliance report</t>
        </is>
      </c>
      <c r="E19" s="210" t="inlineStr">
        <is>
          <t>High</t>
        </is>
      </c>
    </row>
    <row r="20" ht="70" customHeight="1">
      <c r="A20" s="198" t="inlineStr">
        <is>
          <t>Working Papers</t>
        </is>
      </c>
      <c r="B20" s="83" t="inlineStr">
        <is>
          <t>Audit Query Drafting</t>
        </is>
      </c>
      <c r="C20" s="40" t="inlineStr">
        <is>
          <t>Based on the audit observations listed below, draft 10 formal audit queries to be sent to the CFO/management of [Company Name]. Format each as: Query No. | Area | Query Description | Documents/Information Required | Deadline. Tone: Professional, factual, non-accusatory. Reference relevant accounting standards or statutory provisions where applicable.</t>
        </is>
      </c>
      <c r="D20" s="212" t="inlineStr">
        <is>
          <t>10 formal audit queries ready to send</t>
        </is>
      </c>
      <c r="E20" s="214" t="inlineStr">
        <is>
          <t>Medium</t>
        </is>
      </c>
    </row>
    <row r="21" ht="70" customHeight="1">
      <c r="A21" s="198" t="inlineStr">
        <is>
          <t>Working Papers</t>
        </is>
      </c>
      <c r="B21" s="85" t="inlineStr">
        <is>
          <t>Management Representation Letter</t>
        </is>
      </c>
      <c r="C21" s="34" t="inlineStr">
        <is>
          <t>Draft a Management Representation Letter per SA 580 for [Company Name] for FY ended 31-Mar-2026. Include all standard representations: (1) Fair presentation of FS (2) Completeness of records (3) No fraud (4) Going concern (5) Contingencies disclosed (6) Related parties complete (7) Subsequent events disclosed (8) Legal compliance. Add specific representations for: [insert specific matters]. Format for MD/CFO signature.</t>
        </is>
      </c>
      <c r="D21" s="212" t="inlineStr">
        <is>
          <t>MRL draft ready for signature</t>
        </is>
      </c>
      <c r="E21" s="210" t="inlineStr">
        <is>
          <t>High</t>
        </is>
      </c>
    </row>
    <row r="22" ht="70" customHeight="1">
      <c r="A22" s="198" t="inlineStr">
        <is>
          <t>Risk Identification</t>
        </is>
      </c>
      <c r="B22" s="83" t="inlineStr">
        <is>
          <t>Fraud Red Flags</t>
        </is>
      </c>
      <c r="C22" s="40" t="inlineStr">
        <is>
          <t>Analyse the following financial data and identify potential fraud red flags across categories: (1) Revenue manipulation — fictitious sales, bill-and-hold, channel stuffing, early recognition (2) Expense overstatement — fictitious vendors, inflated invoices, personal expenses (3) Asset misappropriation — cash theft, inventory pilferage, payroll fraud (4) Financial statement fraud — misclassification, period manipulation (5) Tax fraud — suppression of income, inflated claims (6) GST fraud — ITC fraud, fake invoices. Rate: High/Medium/Low. Suggest specific audit tests.</t>
        </is>
      </c>
      <c r="D22" s="212" t="inlineStr">
        <is>
          <t>Fraud risk matrix with tests</t>
        </is>
      </c>
      <c r="E22" s="213" t="inlineStr">
        <is>
          <t>Critical</t>
        </is>
      </c>
    </row>
    <row r="23" ht="70" customHeight="1">
      <c r="A23" s="198" t="inlineStr">
        <is>
          <t>Industry</t>
        </is>
      </c>
      <c r="B23" s="85" t="inlineStr">
        <is>
          <t>Real Estate / Builder</t>
        </is>
      </c>
      <c r="C23" s="34" t="inlineStr">
        <is>
          <t>Conduct audit scrutiny of this real estate developer / builder for FY 2025-26. Review: (1) Revenue recognition — POCM vs project completion (2) Advances from customers — reclassification risk (3) RERA escrow account — compliance and balance (4) GST — under-construction vs completed property rates, ITC reversal on exempt sales (5) TDS u/s 194-IA on property purchases (6) Related party flat allotments at below-market prices (7) Loans from buyers routed as advances — Sec 269SS (8) Unsold inventory valuation. Provide area-wise risk and procedures.</t>
        </is>
      </c>
      <c r="D23" s="212" t="inlineStr">
        <is>
          <t>Real estate audit program</t>
        </is>
      </c>
      <c r="E23" s="210" t="inlineStr">
        <is>
          <t>High</t>
        </is>
      </c>
    </row>
    <row r="24" ht="70" customHeight="1">
      <c r="A24" s="198" t="inlineStr">
        <is>
          <t>Industry</t>
        </is>
      </c>
      <c r="B24" s="83" t="inlineStr">
        <is>
          <t>Manufacturing Company</t>
        </is>
      </c>
      <c r="C24" s="40" t="inlineStr">
        <is>
          <t>Review this manufacturing company's financials for FY 2025-26: (1) Raw material consumption ratio — compare with prior year (2) Power &amp; fuel vs production output consistency (3) Labour cost per unit trend (4) Closing WIP/FG valuation — absorption costing correctness (5) CWIP ageing — items stalled &gt;2 years (6) GST — job work returns, reverse charge on transport GTA (7) Additional depreciation u/s 32(1)(iia) eligibility (8) Captive consumption — GST liability (9) Scrap sales — GST at 18%, TCS u/s 206C. Identify top 5 audit risks.</t>
        </is>
      </c>
      <c r="D24" s="212" t="inlineStr">
        <is>
          <t>Manufacturing audit risk program</t>
        </is>
      </c>
      <c r="E24" s="210" t="inlineStr">
        <is>
          <t>High</t>
        </is>
      </c>
    </row>
    <row r="25" ht="70" customHeight="1">
      <c r="A25" s="198" t="inlineStr">
        <is>
          <t>ICAI Compliance</t>
        </is>
      </c>
      <c r="B25" s="85" t="inlineStr">
        <is>
          <t>SA Compliance Review</t>
        </is>
      </c>
      <c r="C25" s="34" t="inlineStr">
        <is>
          <t>Review my proposed audit approach for [area e.g. Revenue/Debtors/Inventory] and assess whether it complies with the following Standards on Auditing: SA 300 (Planning), SA 315 (Risk Assessment), SA 330 (Audit Procedures), SA 500 (Audit Evidence), SA 505 (External Confirmations), SA 520 (Analytical Procedures). Identify: gaps in my approach, additional procedures a Big 4 firm would perform, documentation requirements. Act as an audit partner reviewing a junior's work.</t>
        </is>
      </c>
      <c r="D25" s="212" t="inlineStr">
        <is>
          <t>SA-compliant audit program review</t>
        </is>
      </c>
      <c r="E25" s="210" t="inlineStr">
        <is>
          <t>High</t>
        </is>
      </c>
    </row>
    <row r="26" ht="70" customHeight="1">
      <c r="A26" s="198" t="inlineStr">
        <is>
          <t>ICAI Compliance</t>
        </is>
      </c>
      <c r="B26" s="83" t="inlineStr">
        <is>
          <t>Peer Review Simulation</t>
        </is>
      </c>
      <c r="C26" s="40" t="inlineStr">
        <is>
          <t>Act as an ICAI Peer Reviewer reviewing the audit file of [Company Name] for FY 2025-26. Based on the audit procedures described below, identify: (1) Procedures not documented (2) Evidence not sufficient (3) SA requirements not complied with (4) CARO observations not supported (5) Tax audit clauses with inadequate backup (6) Matters requiring partner attention. Provide a Peer Review checklist with Pass/Fail/Comment for each item.</t>
        </is>
      </c>
      <c r="D26" s="212" t="inlineStr">
        <is>
          <t>Peer review simulation report</t>
        </is>
      </c>
      <c r="E26" s="210" t="inlineStr">
        <is>
          <t>High</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2026-05-23T18:53:09Z</dcterms:created>
  <dcterms:modified xmlns:dcterms="http://purl.org/dc/terms/" xmlns:xsi="http://www.w3.org/2001/XMLSchema-instance" xsi:type="dcterms:W3CDTF">2026-05-23T19:31:00Z</dcterms:modified>
</cp:coreProperties>
</file>